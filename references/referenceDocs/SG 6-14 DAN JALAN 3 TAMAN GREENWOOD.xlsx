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BQ" sheetId="1" state="visible" r:id="rId2"/>
    <sheet name="PELARASAN" sheetId="2" state="visible" r:id="rId3"/>
    <sheet name="CPC" sheetId="3" state="visible" r:id="rId4"/>
    <sheet name="LOKASI" sheetId="4" state="visible" r:id="rId5"/>
    <sheet name="COVER PAGE" sheetId="5" state="visible" r:id="rId6"/>
    <sheet name="PRESTASI" sheetId="6" state="visible" r:id="rId7"/>
  </sheets>
  <definedNames>
    <definedName name="_xlnm.Print_Area" localSheetId="0">BQ!$A$1:$K$436</definedName>
    <definedName name="_xlnm.Print_Area" localSheetId="1">PELARASAN!$A$1:$R$352</definedName>
    <definedName name="Print_Titles" localSheetId="1">PELARASAN!$1:$5</definedName>
    <definedName name="_Hlk181612101" localSheetId="2">CPC!#REF!</definedName>
    <definedName name="_Hlk181612101" localSheetId="4">'COVER PAGE'!#REF!</definedName>
    <definedName name="_Hlk181612101" localSheetId="5">PRESTASI!#REF!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<sst xmlns="http://schemas.openxmlformats.org/spreadsheetml/2006/main" count="317" uniqueCount="317">
  <si>
    <t xml:space="preserve">CADANGAN KERJA-KERJA MEMBAIKPULIH LONGKANG DI JALAN SG 6/14  DAN JALAN 3 TAMAN GREENWOOD  SERTA KERJA-KERJA BERKAITAN,MUKIM BATU,DAERAH GOMBAK,SELANGOR DARUL EHSAN</t>
  </si>
  <si>
    <t xml:space="preserve">NO ADUAN</t>
  </si>
  <si>
    <t xml:space="preserve">LOKASI ADUAN</t>
  </si>
  <si>
    <t xml:space="preserve">MPS.039608 &amp; MPS.039609</t>
  </si>
  <si>
    <t xml:space="preserve">JALAN SG 6/14 </t>
  </si>
  <si>
    <t>MPS.040584</t>
  </si>
  <si>
    <t xml:space="preserve">JALAN 3 TAMAN GREENWOOD</t>
  </si>
  <si>
    <t>BIL</t>
  </si>
  <si>
    <t>KETERANGAN</t>
  </si>
  <si>
    <t>UNIT</t>
  </si>
  <si>
    <t>KUANTITI</t>
  </si>
  <si>
    <t xml:space="preserve">KADAR HARGA (RM)</t>
  </si>
  <si>
    <t xml:space="preserve">JUMLAH (RM)</t>
  </si>
  <si>
    <t xml:space="preserve">ALL QUANTITY ARE PROVISIONAL</t>
  </si>
  <si>
    <t xml:space="preserve">BIL NO. 1 - KERJA-KERJA PERMULAAN</t>
  </si>
  <si>
    <t>A</t>
  </si>
  <si>
    <t xml:space="preserve">Menyediakan polisi insuran berikut bagi merangkumi tempoh pekerjaan yang perlu</t>
  </si>
  <si>
    <t xml:space="preserve">seperti insuran tanggungan awam (Public Liability), insuran pampasan pekerja </t>
  </si>
  <si>
    <t xml:space="preserve">(Workmen's Compensation) dan SOCSO</t>
  </si>
  <si>
    <t xml:space="preserve">Nota: Liputan (coverage) minima insuran bagi pampasan adalah 30% daripada nilai</t>
  </si>
  <si>
    <t xml:space="preserve">kerja  jika sekiranya pemborong tidak dapat mengadakan Nombor Pendaftaran</t>
  </si>
  <si>
    <t xml:space="preserve">PERKESO. Liputan bagi Insurans Tanggungan Umum adalah seperti berikut :-</t>
  </si>
  <si>
    <t xml:space="preserve">i.  Bagi nilai kerja yang kurang RM 25,000.00. Liputan minima adalah RM 10,000.00</t>
  </si>
  <si>
    <t>L/S</t>
  </si>
  <si>
    <t xml:space="preserve">ii. Bagi nilai kerja diantara Rm²5,000.00 hingga RM 50,000.00. Liputan minima </t>
  </si>
  <si>
    <t xml:space="preserve">    adalah RM 25,000.00</t>
  </si>
  <si>
    <t xml:space="preserve">iii. Bagi nilai kerja diantara RM50,000.00 hingga RM 100,000.00. Liputan minima</t>
  </si>
  <si>
    <t xml:space="preserve">     adalah RM 50,000.00</t>
  </si>
  <si>
    <t xml:space="preserve">Bagi perkara di atas, Kontraktor adalah dikehendaki mengemukakan Nota Liputan</t>
  </si>
  <si>
    <t xml:space="preserve">(Cover Note) bagi polisi-polisi insuran dan resit-resit premium yang telah dibayar,</t>
  </si>
  <si>
    <t xml:space="preserve">bagi tujuan memulakan kerja.</t>
  </si>
  <si>
    <t>B</t>
  </si>
  <si>
    <t xml:space="preserve">PELAN PENGURUSAN LALULINTAS (TRAFFIC MANAGEMENT)</t>
  </si>
  <si>
    <t xml:space="preserve">Membekal dan menyediakan jentera alat pengangkutan pekerja, papan tanda isyarat</t>
  </si>
  <si>
    <t xml:space="preserve">lalu lintas sementara, papan tanda 'Awas kerja-kerja sedang dilaksanakan di hadapan,</t>
  </si>
  <si>
    <t xml:space="preserve">segala kesulitan amat dikesali', papan tanda projek mudah alih yang merangkumi maklumat </t>
  </si>
  <si>
    <t xml:space="preserve">nama kontraktor, no untuk dihubungi, tarikh mula, tarikh siap serta lampu waktu malam</t>
  </si>
  <si>
    <t xml:space="preserve">dan kawalan lalu lintas yang mencukupi pada setiap masa mengikut arahan Pegawai</t>
  </si>
  <si>
    <t xml:space="preserve">Penguatkuasa termasuk pengurusan lalulintas (Traffic Management).</t>
  </si>
  <si>
    <t>C</t>
  </si>
  <si>
    <t xml:space="preserve">Membekalkan laporan bergambar mengikut proses pembinaan pada waktu sebelum mula</t>
  </si>
  <si>
    <t xml:space="preserve">kerja, semasa kerja dan selepas siap kerja serta soft copy dalam bentuk thumb drive.</t>
  </si>
  <si>
    <t xml:space="preserve">TO COLLECTION</t>
  </si>
  <si>
    <t xml:space="preserve">BIL NO.2- BUTIRAN KERJA BAIKPULIH LONGKANG</t>
  </si>
  <si>
    <t>PANJANG</t>
  </si>
  <si>
    <t>LEBAR</t>
  </si>
  <si>
    <t>TINGGI</t>
  </si>
  <si>
    <t xml:space="preserve">KERJA PENGOREKAN</t>
  </si>
  <si>
    <t xml:space="preserve">Kerja-kerja menggali dan membuang tembok longkang sedia ada tidak melebihi 1500mm</t>
  </si>
  <si>
    <t xml:space="preserve">ukuran termasuk membuang sisa di tempat yang dibenarkan oleh pegawai penguasa.</t>
  </si>
  <si>
    <t xml:space="preserve">ii) Dengan tangan</t>
  </si>
  <si>
    <t xml:space="preserve">m(P) X</t>
  </si>
  <si>
    <t xml:space="preserve">m(L) X</t>
  </si>
  <si>
    <t>m(T)</t>
  </si>
  <si>
    <t>m³</t>
  </si>
  <si>
    <t xml:space="preserve">LEAN CONCRETE</t>
  </si>
  <si>
    <t xml:space="preserve">Kerja-kerja membekal dan memadat konkrit tidak bertetulang (Site Mixed) gred 15 </t>
  </si>
  <si>
    <t xml:space="preserve">(1:2:4-9mm) 75mm purata tebal lantai atau batu baur (ikut kesesuaian tanah) untuk</t>
  </si>
  <si>
    <t xml:space="preserve">tapak asas longkang. (Lean Concrete) </t>
  </si>
  <si>
    <t xml:space="preserve">m(L) </t>
  </si>
  <si>
    <t>m²</t>
  </si>
  <si>
    <t>REINFORCEMENT</t>
  </si>
  <si>
    <t xml:space="preserve">Kerja-kerja membekal, memasang, membengkok dan memotong kepingan jejaring (BRC)</t>
  </si>
  <si>
    <t xml:space="preserve">No. B7 atau tetulang keluli dikimpal berbentuk jejaring 100mm x 200mm, beratnya 4.53kg</t>
  </si>
  <si>
    <t xml:space="preserve">setiap meter persegi. (BRC B7)</t>
  </si>
  <si>
    <t xml:space="preserve">m(T) X</t>
  </si>
  <si>
    <t>D</t>
  </si>
  <si>
    <t>FORMWORK</t>
  </si>
  <si>
    <t xml:space="preserve">Kerja-kerja membekal, memotong dan memasang acuan konkrit daripada papan tidak berketam</t>
  </si>
  <si>
    <t xml:space="preserve">pada muka-muka yang pugak (Vertical) termasuk kerja-kerja menanggal dan membuang.</t>
  </si>
  <si>
    <t xml:space="preserve">ii. 2 kali penggunaan - (21m ke atas)</t>
  </si>
  <si>
    <t xml:space="preserve">m(T)X </t>
  </si>
  <si>
    <t>E</t>
  </si>
  <si>
    <t>KONKRIT</t>
  </si>
  <si>
    <t xml:space="preserve">Kerja-kerja membekal, menuang dan memadat konkrit Ready Mixed/tuang disitu gred 20</t>
  </si>
  <si>
    <t xml:space="preserve">bertetulang tuang disitu untuk lantai dan tembok longkang tebal 100mm/150mm/</t>
  </si>
  <si>
    <t xml:space="preserve">Ready Mixed/tuang disitu.</t>
  </si>
  <si>
    <t xml:space="preserve">vi.   100mm tebal (Tuang Disitu) </t>
  </si>
  <si>
    <t>F</t>
  </si>
  <si>
    <t xml:space="preserve">LONGKANG JENIS TEMBIKAR (CLAY)</t>
  </si>
  <si>
    <t xml:space="preserve">Kerja-kerja membekal dan memasang longkang jenis separuh bulatan jenis tembikar</t>
  </si>
  <si>
    <t xml:space="preserve">bergilap (HRGW) dan di sambung dengan simen motar 1:3 saiz :- </t>
  </si>
  <si>
    <t xml:space="preserve"> </t>
  </si>
  <si>
    <t xml:space="preserve">i.   225mm</t>
  </si>
  <si>
    <t>m</t>
  </si>
  <si>
    <t>G</t>
  </si>
  <si>
    <t xml:space="preserve">KERJA-KERJA AKHIR</t>
  </si>
  <si>
    <t xml:space="preserve">Kerja-kerja akhir pembersihan sisa bahan binaan dan dibuang ke tempat yang  dibenarkan.</t>
  </si>
  <si>
    <t xml:space="preserve">ii.  Nilai Kerja Rm²0,000.01 sehingga RM50,000.00.</t>
  </si>
  <si>
    <t xml:space="preserve">BIL NO.2- BUTIRAN KERJA BAIKPULIH LONGKANG SAMB.</t>
  </si>
  <si>
    <t xml:space="preserve">MEMBUAT KERJA-KERJA KONKRIT SEDIA ADA</t>
  </si>
  <si>
    <t xml:space="preserve">Memecah atau merobohkan konkrit sedia ada dan membaiki semula mana-mana</t>
  </si>
  <si>
    <t xml:space="preserve">bahagian rosak, tidak melebihi 300mm tebal.</t>
  </si>
  <si>
    <t xml:space="preserve">a) dengan tetulang</t>
  </si>
  <si>
    <t xml:space="preserve">m(L)X </t>
  </si>
  <si>
    <t xml:space="preserve">pada muka-muka yang ufuk (Horizontal) termasuk kerja-kerja menanggal dan</t>
  </si>
  <si>
    <t>membuang.</t>
  </si>
  <si>
    <t>NOS</t>
  </si>
  <si>
    <t xml:space="preserve">Kerja-kerja membekal, memasang, membengkok dan memotong tetulang keluli Y10 yang diikat</t>
  </si>
  <si>
    <t xml:space="preserve">rapi berbentuk segiempat bersaiz 200mm x 200mm beserta Concrete Spacer, beratnya </t>
  </si>
  <si>
    <t xml:space="preserve">6.16kg setiap meter persegi sebanyak 2 lapisan.</t>
  </si>
  <si>
    <t xml:space="preserve">BIL NO.3- BUTIRAN KERJA BAIKPULIH LONGKANG</t>
  </si>
  <si>
    <t>M</t>
  </si>
  <si>
    <t xml:space="preserve">BIL NO.3- BUTIRAN KERJA BAIKPULIH LONGKANG SAMB.</t>
  </si>
  <si>
    <t xml:space="preserve">IRON ANGLE STEEL FRAME</t>
  </si>
  <si>
    <t xml:space="preserve">Kerja-kerja membekal dan memasang Iron Angle Steel Frame dengan ketebalan 5mm</t>
  </si>
  <si>
    <t xml:space="preserve">sebagai perlindungan kepada penutup longkang serta kerja-kerja berkaitan bersaiz :-</t>
  </si>
  <si>
    <t xml:space="preserve">xiv.  400mm x 600mm x 75mm</t>
  </si>
  <si>
    <t xml:space="preserve">PENUTUP LONGKANG JENIS COMPRESSED CONCRETE</t>
  </si>
  <si>
    <t xml:space="preserve">Kerja-kerja membekal dan memasang Compressed Concrete Heavy Duty with</t>
  </si>
  <si>
    <t xml:space="preserve">Drain Hole bersaiz :-  </t>
  </si>
  <si>
    <t xml:space="preserve">xi.    400mm x 600mm x 75mm</t>
  </si>
  <si>
    <t xml:space="preserve">Sebelum kerja-kerja dimulakan pemborong dikehendaki melawat tapak bersama dengan Penolong Jurutera kawasan</t>
  </si>
  <si>
    <t xml:space="preserve">untuk mempastikan tempat dan menyelesaikan masalah berbangkit di tapak sebelum memulakan kerja. Kontraktor </t>
  </si>
  <si>
    <t xml:space="preserve">adalah dikecualikan daripada mengemukakkan Bon Perlaksanaan.Walaubagaimanapun, tempoh tanggungan kecacatan </t>
  </si>
  <si>
    <t xml:space="preserve">seperti di bawah juga dikenakan kepada kontraktor dan syarat ini hendaklah dinyatakan dalam surat tawaran.</t>
  </si>
  <si>
    <t xml:space="preserve">( Rujuk Kementerian Kewangan Surat Pekeliling Perbendaharaan Bil 3 Tahun 2007)</t>
  </si>
  <si>
    <t xml:space="preserve">Nilai Projek</t>
  </si>
  <si>
    <t xml:space="preserve">Tempoh Tanggungan kecacatan</t>
  </si>
  <si>
    <t xml:space="preserve">RM 10, 000 - RM 100,000 </t>
  </si>
  <si>
    <t xml:space="preserve">6 Bulan dari tarikh kerja diperakukan siap</t>
  </si>
  <si>
    <t xml:space="preserve">Melebihi RM 100,000</t>
  </si>
  <si>
    <t xml:space="preserve">12 bulan dari tarikh kerja diperakukan siap</t>
  </si>
  <si>
    <t xml:space="preserve">Disediakan oleh  </t>
  </si>
  <si>
    <t xml:space="preserve">Disemak oleh,</t>
  </si>
  <si>
    <t xml:space="preserve">CADANGAN KERJA-KERJA MEMBAIKPULIH LONGKANG DI JALAN ZAMRUD DAN KERJA MEMBAIKPULIH PAPAN TANDA DI JALAN BERJAYA  SERTA KERJA-KERJA BERKAITAN,MUKIM BATU,DAERAH GOMBAK,SELANGOR DARUL EHSAN</t>
  </si>
  <si>
    <t xml:space="preserve">MPS 26909</t>
  </si>
  <si>
    <t xml:space="preserve">JALAN ZAMRUD</t>
  </si>
  <si>
    <t>AM</t>
  </si>
  <si>
    <t xml:space="preserve">JALAN BERJAYA</t>
  </si>
  <si>
    <r>
      <t xml:space="preserve">seperti insuran tanggungan awam </t>
    </r>
    <r>
      <rPr>
        <i/>
        <sz val="24"/>
        <rFont val="Arial"/>
      </rPr>
      <t xml:space="preserve">(Public Liability)</t>
    </r>
    <r>
      <rPr>
        <sz val="24"/>
        <rFont val="Arial"/>
      </rPr>
      <t xml:space="preserve">, insuran pampasan pekerja </t>
    </r>
  </si>
  <si>
    <r>
      <rPr>
        <i/>
        <sz val="24"/>
        <rFont val="Arial"/>
      </rPr>
      <t xml:space="preserve">(Workmen's Compensation)</t>
    </r>
    <r>
      <rPr>
        <sz val="24"/>
        <rFont val="Arial"/>
      </rPr>
      <t xml:space="preserve"> dan </t>
    </r>
    <r>
      <rPr>
        <i/>
        <sz val="24"/>
        <rFont val="Arial"/>
      </rPr>
      <t>SOCSO</t>
    </r>
  </si>
  <si>
    <r>
      <t xml:space="preserve">Nota: Liputan </t>
    </r>
    <r>
      <rPr>
        <i/>
        <sz val="24"/>
        <rFont val="Arial"/>
      </rPr>
      <t>(coverage)</t>
    </r>
    <r>
      <rPr>
        <sz val="24"/>
        <rFont val="Arial"/>
      </rPr>
      <t xml:space="preserve"> minima insuran bagi pampasan adalah 30% daripada nilai</t>
    </r>
  </si>
  <si>
    <t xml:space="preserve">ii. Bagi nilai kerja diantara RM25,000.00 hingga RM 50,000.00. Liputan minima </t>
  </si>
  <si>
    <r>
      <rPr>
        <i/>
        <sz val="24"/>
        <rFont val="Arial"/>
      </rPr>
      <t xml:space="preserve">(Cover Note)</t>
    </r>
    <r>
      <rPr>
        <sz val="24"/>
        <rFont val="Arial"/>
      </rPr>
      <t xml:space="preserve"> bagi polisi-polisi insuran dan resit-resit premium yang telah dibayar,</t>
    </r>
  </si>
  <si>
    <r>
      <t xml:space="preserve">PELAN PENGURUSAN LALULINTAS </t>
    </r>
    <r>
      <rPr>
        <b/>
        <i/>
        <u val="single"/>
        <sz val="24"/>
        <rFont val="Arial"/>
      </rPr>
      <t xml:space="preserve">(TRAFFIC MANAGEMENT)</t>
    </r>
  </si>
  <si>
    <r>
      <t xml:space="preserve">Penguatkuasa termasuk pengurusan lalulintas</t>
    </r>
    <r>
      <rPr>
        <i/>
        <sz val="24"/>
        <rFont val="Arial"/>
      </rPr>
      <t xml:space="preserve"> (Traffic Management)</t>
    </r>
    <r>
      <rPr>
        <sz val="24"/>
        <rFont val="Arial"/>
      </rPr>
      <t>.</t>
    </r>
  </si>
  <si>
    <r>
      <t xml:space="preserve">kerja, semasa kerja dan selepas siap kerja serta </t>
    </r>
    <r>
      <rPr>
        <i/>
        <sz val="24"/>
        <rFont val="Arial"/>
      </rPr>
      <t xml:space="preserve">soft copy</t>
    </r>
    <r>
      <rPr>
        <sz val="24"/>
        <rFont val="Arial"/>
      </rPr>
      <t xml:space="preserve"> dalam bentuk </t>
    </r>
    <r>
      <rPr>
        <i/>
        <sz val="24"/>
        <rFont val="Arial"/>
      </rPr>
      <t xml:space="preserve">thumb drive.</t>
    </r>
  </si>
  <si>
    <t xml:space="preserve"> JALAN ZAMRUD</t>
  </si>
  <si>
    <t>M(P)</t>
  </si>
  <si>
    <t>X</t>
  </si>
  <si>
    <t>M(L)</t>
  </si>
  <si>
    <t>M(T)</t>
  </si>
  <si>
    <t>M3</t>
  </si>
  <si>
    <r>
      <t>PEMBENTUNG/</t>
    </r>
    <r>
      <rPr>
        <b/>
        <i/>
        <u val="single"/>
        <sz val="24"/>
        <rFont val="Arial"/>
      </rPr>
      <t xml:space="preserve">BOX CULVERT</t>
    </r>
  </si>
  <si>
    <r>
      <t xml:space="preserve">Kerja-kerja membekal dan memasang  pembentung kekotak </t>
    </r>
    <r>
      <rPr>
        <i/>
        <sz val="24"/>
        <rFont val="Arial"/>
      </rPr>
      <t xml:space="preserve">(Box Culvert) with Dry weather </t>
    </r>
  </si>
  <si>
    <r>
      <rPr>
        <i/>
        <sz val="24"/>
        <rFont val="Arial"/>
      </rPr>
      <t>flow</t>
    </r>
    <r>
      <rPr>
        <sz val="24"/>
        <rFont val="Arial"/>
      </rPr>
      <t xml:space="preserve"> termasuk penutup dan kerja-kerja konkrit 1:2:4 - 19mm agg sebagai asas.</t>
    </r>
  </si>
  <si>
    <t xml:space="preserve">iii. 600mm x 600mm</t>
  </si>
  <si>
    <t>SUMP</t>
  </si>
  <si>
    <t xml:space="preserve">Kerja-kerja membina lurang tidak lebih 1200mm dalam termasuk penggalian membentuk 100mm</t>
  </si>
  <si>
    <r>
      <t xml:space="preserve">asas konkrit (1:3:6-38mm) membuat rusuk </t>
    </r>
    <r>
      <rPr>
        <i/>
        <sz val="24"/>
        <rFont val="Arial"/>
      </rPr>
      <t>(Benching)</t>
    </r>
    <r>
      <rPr>
        <sz val="24"/>
        <rFont val="Arial"/>
      </rPr>
      <t xml:space="preserve"> dan saluran-saluran membina 115mm</t>
    </r>
  </si>
  <si>
    <t xml:space="preserve">dinding bata berlepa simen motar (1:3) dinding bahagian dalam dialas dengan 12mm</t>
  </si>
  <si>
    <t xml:space="preserve">tebal lepa simen dan pasir. </t>
  </si>
  <si>
    <t xml:space="preserve">iii. 900mm x 900mm</t>
  </si>
  <si>
    <t>-</t>
  </si>
  <si>
    <r>
      <t xml:space="preserve">pada muka-muka yang ufuk </t>
    </r>
    <r>
      <rPr>
        <i/>
        <sz val="24"/>
        <rFont val="Arial"/>
      </rPr>
      <t>(Horizontal)</t>
    </r>
    <r>
      <rPr>
        <sz val="24"/>
        <rFont val="Arial"/>
      </rPr>
      <t xml:space="preserve"> termasuk kerja-kerja menanggal dan</t>
    </r>
  </si>
  <si>
    <t>M2</t>
  </si>
  <si>
    <r>
      <t xml:space="preserve">rapi berbentuk segiempat bersaiz 200mm x 200mm beserta </t>
    </r>
    <r>
      <rPr>
        <i/>
        <sz val="24"/>
        <rFont val="Arial"/>
      </rPr>
      <t xml:space="preserve">Concrete Spacer</t>
    </r>
    <r>
      <rPr>
        <sz val="24"/>
        <rFont val="Arial"/>
      </rPr>
      <t xml:space="preserve">, beratnya </t>
    </r>
  </si>
  <si>
    <r>
      <t xml:space="preserve">Kerja-kerja membekal, menuang dan memadat konkrit </t>
    </r>
    <r>
      <rPr>
        <i/>
        <sz val="24"/>
        <rFont val="Arial"/>
      </rPr>
      <t xml:space="preserve">Ready Mixed</t>
    </r>
    <r>
      <rPr>
        <sz val="24"/>
        <rFont val="Arial"/>
      </rPr>
      <t xml:space="preserve">/tuang disitu gred 20</t>
    </r>
  </si>
  <si>
    <r>
      <rPr>
        <i/>
        <sz val="24"/>
        <rFont val="Arial"/>
      </rPr>
      <t xml:space="preserve">Ready Mixed</t>
    </r>
    <r>
      <rPr>
        <sz val="24"/>
        <rFont val="Arial"/>
      </rPr>
      <t xml:space="preserve">/tuang disitu.</t>
    </r>
  </si>
  <si>
    <t xml:space="preserve">x.    200mm tebal (Tuang Disitu) </t>
  </si>
  <si>
    <t>H</t>
  </si>
  <si>
    <t xml:space="preserve">KERJA JALAN</t>
  </si>
  <si>
    <r>
      <t xml:space="preserve">Membekal dan memadat 50mm tebal </t>
    </r>
    <r>
      <rPr>
        <i/>
        <sz val="24"/>
        <rFont val="Arial"/>
      </rPr>
      <t xml:space="preserve">(Macadam Bitumen)</t>
    </r>
    <r>
      <rPr>
        <sz val="24"/>
        <rFont val="Arial"/>
      </rPr>
      <t xml:space="preserve"> ACWC 14 termasuk satu</t>
    </r>
  </si>
  <si>
    <r>
      <t xml:space="preserve">lapisan cecair </t>
    </r>
    <r>
      <rPr>
        <i/>
        <sz val="24"/>
        <rFont val="Arial"/>
      </rPr>
      <t xml:space="preserve">(Tack Coat)</t>
    </r>
    <r>
      <rPr>
        <sz val="24"/>
        <rFont val="Arial"/>
      </rPr>
      <t xml:space="preserve"> disembur pada kadar 2 liter/meter persegi dan dimampatkan</t>
    </r>
  </si>
  <si>
    <t xml:space="preserve">dengan mesin penggelek 8 tan.</t>
  </si>
  <si>
    <r>
      <t xml:space="preserve">Kerja-kerja membekal dan memadat konkrit tidak bertetulang </t>
    </r>
    <r>
      <rPr>
        <i/>
        <sz val="24"/>
        <rFont val="Arial"/>
      </rPr>
      <t xml:space="preserve">(Site Mixed)</t>
    </r>
    <r>
      <rPr>
        <sz val="24"/>
        <rFont val="Arial"/>
      </rPr>
      <t xml:space="preserve"> gred 15 </t>
    </r>
  </si>
  <si>
    <r>
      <t xml:space="preserve">tapak asas longkang. </t>
    </r>
    <r>
      <rPr>
        <i/>
        <sz val="24"/>
        <rFont val="Arial"/>
      </rPr>
      <t xml:space="preserve">(Lean Concrete) </t>
    </r>
  </si>
  <si>
    <r>
      <t xml:space="preserve">Kerja-kerja membekal, memasang, membengkok dan memotong kepingan jejaring </t>
    </r>
    <r>
      <rPr>
        <i/>
        <sz val="24"/>
        <rFont val="Arial"/>
      </rPr>
      <t>(BRC)</t>
    </r>
  </si>
  <si>
    <r>
      <t xml:space="preserve">pada muka-muka yang pugak </t>
    </r>
    <r>
      <rPr>
        <i/>
        <sz val="24"/>
        <rFont val="Arial"/>
      </rPr>
      <t>(Vertical)</t>
    </r>
    <r>
      <rPr>
        <sz val="24"/>
        <rFont val="Arial"/>
      </rPr>
      <t xml:space="preserve"> termasuk kerja-kerja menanggal dan membuang.</t>
    </r>
  </si>
  <si>
    <r>
      <t xml:space="preserve">LONGKANG JENIS TEMBIKAR </t>
    </r>
    <r>
      <rPr>
        <b/>
        <i/>
        <u val="single"/>
        <sz val="24"/>
        <rFont val="Arial"/>
      </rPr>
      <t>(CLAY)</t>
    </r>
  </si>
  <si>
    <r>
      <t xml:space="preserve">bergilap </t>
    </r>
    <r>
      <rPr>
        <i/>
        <sz val="24"/>
        <rFont val="Arial"/>
      </rPr>
      <t>(HRGW)</t>
    </r>
    <r>
      <rPr>
        <sz val="24"/>
        <rFont val="Arial"/>
      </rPr>
      <t xml:space="preserve"> dan di sambung dengan simen motar 1:3 saiz :- </t>
    </r>
  </si>
  <si>
    <t>STRUCT</t>
  </si>
  <si>
    <t xml:space="preserve">Kerja-kerja membekal dan membina Struct konkrit bertetulang 4Y12, R6 150mm c/c termasuk</t>
  </si>
  <si>
    <t xml:space="preserve">menuang konkrit Gred 20 dan memasang papan acuan termasuk menanggal dan</t>
  </si>
  <si>
    <t xml:space="preserve">membuang serta dibina setiap 3m c/c panjang dengan kelebaran bersaiz :- </t>
  </si>
  <si>
    <t xml:space="preserve">ii.    400mm</t>
  </si>
  <si>
    <t xml:space="preserve">BIL NO.2- BUTIRAN KERJA BAIKPULIH LONGKANG SAMB.2</t>
  </si>
  <si>
    <r>
      <t xml:space="preserve">PENUTUP LONGKANG JENIS </t>
    </r>
    <r>
      <rPr>
        <b/>
        <i/>
        <u val="single"/>
        <sz val="24"/>
        <rFont val="Arial"/>
      </rPr>
      <t xml:space="preserve">COMPRESSED CONCRETE</t>
    </r>
  </si>
  <si>
    <r>
      <t xml:space="preserve">Kerja-kerja membekal dan memasang </t>
    </r>
    <r>
      <rPr>
        <i/>
        <sz val="24"/>
        <rFont val="Arial"/>
      </rPr>
      <t xml:space="preserve">Compressed Concrete Heavy Duty with</t>
    </r>
  </si>
  <si>
    <r>
      <rPr>
        <i/>
        <sz val="24"/>
        <rFont val="Arial"/>
      </rPr>
      <t xml:space="preserve">Drain Hole</t>
    </r>
    <r>
      <rPr>
        <sz val="24"/>
        <rFont val="Arial"/>
      </rPr>
      <t xml:space="preserve"> bersaiz :-  </t>
    </r>
  </si>
  <si>
    <t xml:space="preserve">vii.   300mm x 900mm x 50mm</t>
  </si>
  <si>
    <t xml:space="preserve">xii.    400mm x 600mm x 100mm</t>
  </si>
  <si>
    <r>
      <t xml:space="preserve">Kerja-kerja membekal dan memasang </t>
    </r>
    <r>
      <rPr>
        <i/>
        <sz val="24"/>
        <rFont val="Arial"/>
      </rPr>
      <t xml:space="preserve">Iron Angle Steel Frame</t>
    </r>
    <r>
      <rPr>
        <sz val="24"/>
        <rFont val="Arial"/>
      </rPr>
      <t xml:space="preserve"> dengan ketebalan 5mm</t>
    </r>
  </si>
  <si>
    <t xml:space="preserve">xv.   400mm x 600mm x 100mm</t>
  </si>
  <si>
    <t xml:space="preserve">ii.  Nilai Kerja RM20,000.01 sehingga RM50,000.00.</t>
  </si>
  <si>
    <t xml:space="preserve">BIL NO.3- BUTIRAN KERJA PAPAN TANDA</t>
  </si>
  <si>
    <t xml:space="preserve">JALAN BERJAYA 5</t>
  </si>
  <si>
    <t xml:space="preserve">PAPAN TANDA NAMA JALAN</t>
  </si>
  <si>
    <t xml:space="preserve">Kerja-kerja membekal dan memasang papan tanda baru nama jalan (huruf depan &amp;</t>
  </si>
  <si>
    <t xml:space="preserve">belakang) serta membuka semula papantanda sedia ada seperti spesifikasi </t>
  </si>
  <si>
    <t xml:space="preserve">berikut :-  </t>
  </si>
  <si>
    <r>
      <t xml:space="preserve">(a.)  </t>
    </r>
    <r>
      <rPr>
        <i/>
        <sz val="24"/>
        <rFont val="Arial"/>
      </rPr>
      <t>Board</t>
    </r>
    <r>
      <rPr>
        <sz val="24"/>
        <rFont val="Arial"/>
      </rPr>
      <t xml:space="preserve">   -   3.2mm </t>
    </r>
    <r>
      <rPr>
        <i/>
        <sz val="24"/>
        <rFont val="Arial"/>
      </rPr>
      <t xml:space="preserve">thick Fibre Board</t>
    </r>
  </si>
  <si>
    <r>
      <t xml:space="preserve">(b.)  </t>
    </r>
    <r>
      <rPr>
        <i/>
        <sz val="24"/>
        <rFont val="Arial"/>
      </rPr>
      <t xml:space="preserve">Board Size</t>
    </r>
    <r>
      <rPr>
        <sz val="24"/>
        <rFont val="Arial"/>
      </rPr>
      <t xml:space="preserve">   -   1000mm x 270mm </t>
    </r>
    <r>
      <rPr>
        <i/>
        <sz val="24"/>
        <rFont val="Arial"/>
      </rPr>
      <t>(Blue)</t>
    </r>
  </si>
  <si>
    <r>
      <t xml:space="preserve">(c.)  </t>
    </r>
    <r>
      <rPr>
        <i/>
        <sz val="24"/>
        <rFont val="Arial"/>
      </rPr>
      <t>Frame</t>
    </r>
    <r>
      <rPr>
        <sz val="24"/>
        <rFont val="Arial"/>
      </rPr>
      <t xml:space="preserve">   -   30mm x 38mm x 4mm </t>
    </r>
    <r>
      <rPr>
        <i/>
        <sz val="24"/>
        <rFont val="Arial"/>
      </rPr>
      <t>S.H.S</t>
    </r>
  </si>
  <si>
    <r>
      <t xml:space="preserve">(d.)  </t>
    </r>
    <r>
      <rPr>
        <i/>
        <sz val="24"/>
        <rFont val="Arial"/>
      </rPr>
      <t xml:space="preserve">Font Sticker Backdrop</t>
    </r>
    <r>
      <rPr>
        <sz val="24"/>
        <rFont val="Arial"/>
      </rPr>
      <t xml:space="preserve">   -   </t>
    </r>
    <r>
      <rPr>
        <i/>
        <sz val="24"/>
        <rFont val="Arial"/>
      </rPr>
      <t xml:space="preserve">Oracle (White and Red)</t>
    </r>
  </si>
  <si>
    <r>
      <t xml:space="preserve">(e.)  Emblem MPS </t>
    </r>
    <r>
      <rPr>
        <i/>
        <sz val="24"/>
        <rFont val="Arial"/>
      </rPr>
      <t xml:space="preserve">Sticker Backdrop</t>
    </r>
    <r>
      <rPr>
        <sz val="24"/>
        <rFont val="Arial"/>
      </rPr>
      <t xml:space="preserve">   -   </t>
    </r>
    <r>
      <rPr>
        <i/>
        <sz val="24"/>
        <rFont val="Arial"/>
      </rPr>
      <t xml:space="preserve">3M Reflective (Yellow)</t>
    </r>
  </si>
  <si>
    <r>
      <t xml:space="preserve">(f.)   </t>
    </r>
    <r>
      <rPr>
        <i/>
        <sz val="24"/>
        <rFont val="Arial"/>
      </rPr>
      <t xml:space="preserve">Font Sticker</t>
    </r>
    <r>
      <rPr>
        <sz val="24"/>
        <rFont val="Arial"/>
      </rPr>
      <t xml:space="preserve">   -   </t>
    </r>
    <r>
      <rPr>
        <i/>
        <sz val="24"/>
        <rFont val="Arial"/>
      </rPr>
      <t xml:space="preserve">3M Engineering Grade (Reflected)</t>
    </r>
  </si>
  <si>
    <r>
      <t xml:space="preserve">(g.)  </t>
    </r>
    <r>
      <rPr>
        <i/>
        <sz val="24"/>
        <rFont val="Arial"/>
      </rPr>
      <t xml:space="preserve">Sticker Lining</t>
    </r>
    <r>
      <rPr>
        <sz val="24"/>
        <rFont val="Arial"/>
      </rPr>
      <t xml:space="preserve">   -   </t>
    </r>
    <r>
      <rPr>
        <i/>
        <sz val="24"/>
        <rFont val="Arial"/>
      </rPr>
      <t xml:space="preserve">3M Engineering Grade (White Reflected)</t>
    </r>
  </si>
  <si>
    <r>
      <t xml:space="preserve">(h.)  </t>
    </r>
    <r>
      <rPr>
        <i/>
        <sz val="24"/>
        <rFont val="Arial"/>
      </rPr>
      <t xml:space="preserve">Post welded with plate (Hot Dipped Galvanized)</t>
    </r>
  </si>
  <si>
    <r>
      <t xml:space="preserve">       </t>
    </r>
    <r>
      <rPr>
        <i/>
        <sz val="24"/>
        <rFont val="Arial"/>
      </rPr>
      <t>Post</t>
    </r>
    <r>
      <rPr>
        <sz val="24"/>
        <color indexed="64"/>
        <rFont val="Arial"/>
      </rPr>
      <t xml:space="preserve"> - 75mm (diameter) x 3m (</t>
    </r>
    <r>
      <rPr>
        <i/>
        <sz val="24"/>
        <rFont val="Arial"/>
      </rPr>
      <t>embedded</t>
    </r>
    <r>
      <rPr>
        <sz val="24"/>
        <color indexed="64"/>
        <rFont val="Arial"/>
      </rPr>
      <t xml:space="preserve"> 0.425m)</t>
    </r>
  </si>
  <si>
    <r>
      <t xml:space="preserve">       </t>
    </r>
    <r>
      <rPr>
        <i/>
        <sz val="24"/>
        <rFont val="Arial"/>
      </rPr>
      <t>Plate</t>
    </r>
    <r>
      <rPr>
        <sz val="24"/>
        <color indexed="64"/>
        <rFont val="Arial"/>
      </rPr>
      <t xml:space="preserve"> - 150mm(L) x 150mm(W) x 5mm(D)</t>
    </r>
  </si>
  <si>
    <r>
      <t xml:space="preserve">(i.)   Emblem   -   150mm x 150mm</t>
    </r>
    <r>
      <rPr>
        <i/>
        <sz val="24"/>
        <rFont val="Arial"/>
      </rPr>
      <t xml:space="preserve"> Tranparent Sheet Silk Screen Coloured</t>
    </r>
  </si>
  <si>
    <r>
      <t xml:space="preserve">(j.)   </t>
    </r>
    <r>
      <rPr>
        <i/>
        <sz val="24"/>
        <rFont val="Arial"/>
      </rPr>
      <t xml:space="preserve">Angle Iron Bracket</t>
    </r>
    <r>
      <rPr>
        <sz val="24"/>
        <rFont val="Arial"/>
      </rPr>
      <t xml:space="preserve">   -   38mm x 38mm </t>
    </r>
    <r>
      <rPr>
        <i/>
        <sz val="24"/>
        <rFont val="Arial"/>
      </rPr>
      <t xml:space="preserve"> (Hot Dipped Galvanized)</t>
    </r>
  </si>
  <si>
    <r>
      <t xml:space="preserve">(k.)  </t>
    </r>
    <r>
      <rPr>
        <i/>
        <sz val="24"/>
        <rFont val="Arial"/>
      </rPr>
      <t xml:space="preserve">Dome &amp; Ring</t>
    </r>
    <r>
      <rPr>
        <sz val="24"/>
        <rFont val="Arial"/>
      </rPr>
      <t xml:space="preserve">   -   75mm diameter </t>
    </r>
    <r>
      <rPr>
        <i/>
        <sz val="24"/>
        <rFont val="Arial"/>
      </rPr>
      <t xml:space="preserve"> (Hot Dipped Galvanized)</t>
    </r>
  </si>
  <si>
    <r>
      <t xml:space="preserve">(l.)   </t>
    </r>
    <r>
      <rPr>
        <i/>
        <sz val="24"/>
        <rFont val="Arial"/>
      </rPr>
      <t xml:space="preserve">Footing Size</t>
    </r>
    <r>
      <rPr>
        <sz val="24"/>
        <rFont val="Arial"/>
      </rPr>
      <t xml:space="preserve">   -   250mm(L) x 250mm (W) x 425mm (D)</t>
    </r>
  </si>
  <si>
    <t xml:space="preserve">(m)  Kaedah Penanaman   -   Penggunaan Mesin Gerudi dengan Saiz Korekan 250mm</t>
  </si>
  <si>
    <r>
      <t xml:space="preserve">         atau </t>
    </r>
    <r>
      <rPr>
        <i/>
        <sz val="24"/>
        <rFont val="Arial"/>
      </rPr>
      <t xml:space="preserve">Precast Concrete</t>
    </r>
    <r>
      <rPr>
        <sz val="24"/>
        <rFont val="Arial"/>
      </rPr>
      <t xml:space="preserve"> bersaiz 250mm(L) x 250mm (W) x 425mm (D)</t>
    </r>
  </si>
  <si>
    <t xml:space="preserve">(Rujuk Lukisan Spesifikasi - sila dapatkan lukisan daripada Jabatan Kejuruteraan)</t>
  </si>
  <si>
    <t xml:space="preserve">Termasuk mengecat keseluruhan permukaan tiang dan papan tanda dengan cat anti</t>
  </si>
  <si>
    <t xml:space="preserve">pelekat sebanyak 2 lapisan.</t>
  </si>
  <si>
    <t xml:space="preserve">JALAN TC 2B/1</t>
  </si>
  <si>
    <t xml:space="preserve">PAPAN TANDA KESELAMATAN/PEMBERITAHUAN JALAN RAYA</t>
  </si>
  <si>
    <t xml:space="preserve">Kerja-kerja membekal dan memasang papan tanda baru serta membuka semula </t>
  </si>
  <si>
    <t xml:space="preserve">membuka semula papan tanda sedia ada, mengikut spesifikasi berikut dan arahan</t>
  </si>
  <si>
    <t xml:space="preserve">pegawai penguasa :-</t>
  </si>
  <si>
    <r>
      <t xml:space="preserve">(a.) </t>
    </r>
    <r>
      <rPr>
        <i/>
        <sz val="24"/>
        <rFont val="Arial"/>
      </rPr>
      <t xml:space="preserve">Sticker Backdrop</t>
    </r>
    <r>
      <rPr>
        <sz val="24"/>
        <rFont val="Arial"/>
      </rPr>
      <t xml:space="preserve"> dan Logo dari jenis </t>
    </r>
    <r>
      <rPr>
        <b/>
        <i/>
        <sz val="24"/>
        <rFont val="Arial"/>
      </rPr>
      <t xml:space="preserve">3M Diamond Reflected</t>
    </r>
  </si>
  <si>
    <r>
      <t xml:space="preserve">(b.) </t>
    </r>
    <r>
      <rPr>
        <i/>
        <sz val="24"/>
        <rFont val="Arial"/>
      </rPr>
      <t>Board</t>
    </r>
    <r>
      <rPr>
        <sz val="24"/>
        <rFont val="Arial"/>
      </rPr>
      <t xml:space="preserve"> 3.2mm </t>
    </r>
    <r>
      <rPr>
        <b/>
        <i/>
        <sz val="24"/>
        <rFont val="Arial"/>
      </rPr>
      <t xml:space="preserve">Fibre Board/Archylic</t>
    </r>
  </si>
  <si>
    <r>
      <t xml:space="preserve">(c.)  </t>
    </r>
    <r>
      <rPr>
        <i/>
        <sz val="24"/>
        <rFont val="Arial"/>
      </rPr>
      <t>Post</t>
    </r>
    <r>
      <rPr>
        <sz val="24"/>
        <color indexed="64"/>
        <rFont val="Arial"/>
      </rPr>
      <t xml:space="preserve"> </t>
    </r>
    <r>
      <rPr>
        <i/>
        <sz val="24"/>
        <rFont val="Arial"/>
      </rPr>
      <t xml:space="preserve">welded with plate</t>
    </r>
    <r>
      <rPr>
        <sz val="24"/>
        <color indexed="64"/>
        <rFont val="Arial"/>
      </rPr>
      <t xml:space="preserve"> (</t>
    </r>
    <r>
      <rPr>
        <i/>
        <sz val="24"/>
        <rFont val="Arial"/>
      </rPr>
      <t xml:space="preserve">Hot Dipped Galvanized)</t>
    </r>
  </si>
  <si>
    <r>
      <t xml:space="preserve">(d.) </t>
    </r>
    <r>
      <rPr>
        <i/>
        <sz val="24"/>
        <rFont val="Arial"/>
      </rPr>
      <t xml:space="preserve">Sticker Lining</t>
    </r>
    <r>
      <rPr>
        <sz val="24"/>
        <rFont val="Arial"/>
      </rPr>
      <t xml:space="preserve">   -  </t>
    </r>
    <r>
      <rPr>
        <b/>
        <i/>
        <sz val="24"/>
        <rFont val="Arial"/>
      </rPr>
      <t xml:space="preserve"> 3M Engineering Grade</t>
    </r>
  </si>
  <si>
    <r>
      <t xml:space="preserve">(e.) </t>
    </r>
    <r>
      <rPr>
        <i/>
        <sz val="24"/>
        <rFont val="Arial"/>
      </rPr>
      <t xml:space="preserve">Sticker Font/Symbol</t>
    </r>
    <r>
      <rPr>
        <sz val="24"/>
        <rFont val="Arial"/>
      </rPr>
      <t xml:space="preserve">   -  </t>
    </r>
    <r>
      <rPr>
        <b/>
        <i/>
        <sz val="24"/>
        <rFont val="Arial"/>
      </rPr>
      <t xml:space="preserve"> 3M Engineering Grade</t>
    </r>
  </si>
  <si>
    <r>
      <t xml:space="preserve">(f.)  </t>
    </r>
    <r>
      <rPr>
        <i/>
        <sz val="24"/>
        <rFont val="Arial"/>
      </rPr>
      <t xml:space="preserve">Footing Size</t>
    </r>
    <r>
      <rPr>
        <sz val="24"/>
        <rFont val="Arial"/>
      </rPr>
      <t xml:space="preserve">   -   250mm(L) x 250mm (W) x 425mm (D)</t>
    </r>
  </si>
  <si>
    <t xml:space="preserve">(i)  Kaedah Penanaman   -   Penggunaan Mesin Gerudi dengan Saiz Korekan 250mm</t>
  </si>
  <si>
    <r>
      <t xml:space="preserve">     atau </t>
    </r>
    <r>
      <rPr>
        <i/>
        <sz val="24"/>
        <rFont val="Arial"/>
      </rPr>
      <t xml:space="preserve">Precast Concrete</t>
    </r>
    <r>
      <rPr>
        <sz val="24"/>
        <rFont val="Arial"/>
      </rPr>
      <t xml:space="preserve"> bersaiz 250mm(L) x 250mm (W) x 425mm (D)</t>
    </r>
  </si>
  <si>
    <t xml:space="preserve">xiv. DLL - Size 600mm x 600mm PARKING OKU</t>
  </si>
  <si>
    <t xml:space="preserve">GARISAN JALAN YANG LAIN</t>
  </si>
  <si>
    <r>
      <t xml:space="preserve">iii. Petak </t>
    </r>
    <r>
      <rPr>
        <i/>
        <sz val="24"/>
        <color indexed="64"/>
        <rFont val="Arial"/>
      </rPr>
      <t>Parking</t>
    </r>
    <r>
      <rPr>
        <sz val="24"/>
        <color indexed="64"/>
        <rFont val="Arial"/>
      </rPr>
      <t xml:space="preserve"> OKU</t>
    </r>
  </si>
  <si>
    <t xml:space="preserve">JUMLAH TAMBAHAN</t>
  </si>
  <si>
    <t xml:space="preserve">PELARASAN JUMLAH HARGA KONTRAK</t>
  </si>
  <si>
    <t xml:space="preserve">JUMLAH DIBAYAR KEPADA KONTRAKTOR</t>
  </si>
  <si>
    <t xml:space="preserve">HARGA KONTRAK</t>
  </si>
  <si>
    <t>PENAMBAHAN</t>
  </si>
  <si>
    <t xml:space="preserve">WANG TAHANAN</t>
  </si>
  <si>
    <t>LAD</t>
  </si>
  <si>
    <t>LOC</t>
  </si>
  <si>
    <t xml:space="preserve">JUMLAH SEBENAR</t>
  </si>
  <si>
    <t xml:space="preserve">Nilai Projek                                                         Tempoh Tanggungan kecacatan</t>
  </si>
  <si>
    <t xml:space="preserve">RM 10, 000 - RM 100,000                                6 Bulan dari tarikh kerja diperakukan siap</t>
  </si>
  <si>
    <t xml:space="preserve">Melebihi RM 100,000                                       12 bulan dari tarikh kerja diperakukan siap</t>
  </si>
  <si>
    <t xml:space="preserve">                      Disemak oleh,</t>
  </si>
  <si>
    <t>…............................</t>
  </si>
  <si>
    <t xml:space="preserve">                      …..............................</t>
  </si>
  <si>
    <t xml:space="preserve">KERAJAAN MALAYSIA</t>
  </si>
  <si>
    <t xml:space="preserve">MAJLIS PERBANDARAN SELAYANG</t>
  </si>
  <si>
    <t xml:space="preserve">PERAKUAN SIAP KERJA</t>
  </si>
  <si>
    <t xml:space="preserve">(CERTIFICATE OF PRACTICAL COMPLETION)</t>
  </si>
  <si>
    <t xml:space="preserve">Rujukan :  Bil (    ) MPS 28/PLP-301/24</t>
  </si>
  <si>
    <t xml:space="preserve">Majlis Perbandaran Selayang</t>
  </si>
  <si>
    <t xml:space="preserve">Persiaran 3,Bandar Baru Selayang,
68100 Batu Caves,
Selangor Darul Ehsan </t>
  </si>
  <si>
    <t xml:space="preserve">Kepada :</t>
  </si>
  <si>
    <t xml:space="preserve">ASDA ENTERPRISE</t>
  </si>
  <si>
    <t xml:space="preserve">22 NOVEMBER 2024</t>
  </si>
  <si>
    <t xml:space="preserve">      </t>
  </si>
  <si>
    <t xml:space="preserve">No. 28A,Jalan 26,
Selayang Baru,
68100 Batu Caves,
Selangor Darul Ehsan.</t>
  </si>
  <si>
    <t xml:space="preserve">  Berdaftar dengan CIDB dalam Gred “ G1 ”</t>
  </si>
  <si>
    <t xml:space="preserve">  No. Sebutharga :  MPS/SH/192/23</t>
  </si>
  <si>
    <r>
      <t xml:space="preserve">Sebutharga Untuk :</t>
    </r>
    <r>
      <rPr>
        <b/>
        <sz val="12"/>
        <color indexed="64"/>
        <rFont val="Arial"/>
      </rPr>
      <t xml:space="preserve">CADANGAN KERJA-KERJA MEMBAIKPULIH LONGKANG DI SK TAMAN SERTA KERJA-KERJA BERKAITAN,MUKIM BATU,DAERAH GOMBAK,SELANGOR DARUL EHSAN</t>
    </r>
  </si>
  <si>
    <t xml:space="preserve">Menurut Syarat-Syarat Kontrak, dan tertakluk kepada penyiapan berkaitan dengan </t>
  </si>
  <si>
    <t xml:space="preserve">pembaikan apa-apa kecacatan, ketidaksempurnaan, kesusutan atau apa-apa dan yang </t>
  </si>
  <si>
    <t xml:space="preserve">mungkin terzahir  dalam Tempoh Tanggungan Kecacatan maka adalah dengan ini di </t>
  </si>
  <si>
    <t xml:space="preserve">perakui bahawa seluruh Kerja yang tersebut telah siap sejajar dengan syarat-syarat </t>
  </si>
  <si>
    <r>
      <t xml:space="preserve">dalam Dokumen Sebut Harga pada  </t>
    </r>
    <r>
      <rPr>
        <b/>
        <sz val="12"/>
        <color theme="1"/>
        <rFont val="Arial"/>
      </rPr>
      <t xml:space="preserve">22 NOVEMBER 2024</t>
    </r>
    <r>
      <rPr>
        <sz val="12"/>
        <color theme="1"/>
        <rFont val="Arial"/>
      </rPr>
      <t xml:space="preserve"> dan diambil milik pada</t>
    </r>
  </si>
  <si>
    <r>
      <rPr>
        <b/>
        <sz val="12"/>
        <color theme="1"/>
        <rFont val="Arial"/>
      </rPr>
      <t xml:space="preserve">23 NOVEMBER 2024</t>
    </r>
    <r>
      <rPr>
        <sz val="12"/>
        <color theme="1"/>
        <rFont val="Arial"/>
      </rPr>
      <t xml:space="preserve"> dan dengan itu Tempoh Tanggungan Kecacatan untuk kerja</t>
    </r>
  </si>
  <si>
    <r>
      <t xml:space="preserve">kerja tersebut bermula pada 23 NOVEMBER 2024 dan berakhir pada  </t>
    </r>
    <r>
      <rPr>
        <b/>
        <sz val="12"/>
        <color theme="1"/>
        <rFont val="Arial"/>
      </rPr>
      <t xml:space="preserve">23 MEI 2024  </t>
    </r>
  </si>
  <si>
    <t xml:space="preserve">Diperakui di tapak,</t>
  </si>
  <si>
    <t>Disahkan,</t>
  </si>
  <si>
    <t xml:space="preserve">(Penolong Jurutera/Penyelia Tapak)</t>
  </si>
  <si>
    <t>(Jurutera)</t>
  </si>
  <si>
    <t xml:space="preserve">Nama Penuh :</t>
  </si>
  <si>
    <t xml:space="preserve">Jawatan :</t>
  </si>
  <si>
    <t>LOKASI:</t>
  </si>
  <si>
    <t xml:space="preserve">MASALAH :</t>
  </si>
  <si>
    <t xml:space="preserve">KERJA MEMBAIKPULIH LONGKANG</t>
  </si>
  <si>
    <t xml:space="preserve">JABATAN KEJURUTERAAN</t>
  </si>
  <si>
    <t xml:space="preserve">Persiaran 3, Bandar Baru Selayang</t>
  </si>
  <si>
    <t xml:space="preserve">68100 Batu Caves, Selangor.</t>
  </si>
  <si>
    <t xml:space="preserve">Tel. : 03-61204897/61311426  Fax. : 03-61204879</t>
  </si>
  <si>
    <t xml:space="preserve">CADANGAN KERJA</t>
  </si>
  <si>
    <t>Tarikh</t>
  </si>
  <si>
    <t>Daripada</t>
  </si>
  <si>
    <t xml:space="preserve">Mohamad Khairul Amirin Bin Zainal Abidin</t>
  </si>
  <si>
    <t xml:space="preserve">Penolong Jurutera,</t>
  </si>
  <si>
    <t xml:space="preserve">Bahagian Infrastruktur,</t>
  </si>
  <si>
    <t xml:space="preserve">Unit Selenggara Infrastruktur.</t>
  </si>
  <si>
    <t>Kepada</t>
  </si>
  <si>
    <t>Pengarah</t>
  </si>
  <si>
    <t xml:space="preserve">Jabatan Kejuruteraan</t>
  </si>
  <si>
    <t>Tajuk</t>
  </si>
  <si>
    <t xml:space="preserve">CADANGAN KERJA-KERJA MEMBAIKPULIH LONGKANG DI JALAN SG 4/10  DAN JALAN 6/3 TAMAN SRI GOMBAK SERTA KERJA-KERJA BERKAITAN,MUKIM BATU,DAERAH GOMBAK,SELANGOR DARUL EHSAN</t>
  </si>
  <si>
    <t xml:space="preserve">Blok Perancangan</t>
  </si>
  <si>
    <t xml:space="preserve">BP 4 : SELAYANG-GOMBAK BARAT</t>
  </si>
  <si>
    <t xml:space="preserve">   Perkara di atas adalah dirujuk.</t>
  </si>
  <si>
    <t xml:space="preserve">Bersama-sama ini dilampirkan pelan tapak, gambar lokasi aduan serta spesifikasi kerja (BQ)</t>
  </si>
  <si>
    <t xml:space="preserve">   Sekian, terima kasih.</t>
  </si>
  <si>
    <t xml:space="preserve">   “KITASELANGOR MAJU BERSAMA”</t>
  </si>
  <si>
    <t xml:space="preserve">   “MALAYSIA MADANI”</t>
  </si>
  <si>
    <t xml:space="preserve">   “BERKHIDMAT UNTUK NEGARA”</t>
  </si>
  <si>
    <t xml:space="preserve">   “MAMPAN  PROGRESIF SEJAHTERA”</t>
  </si>
  <si>
    <t xml:space="preserve">   Saya yang menjalankan amanah,</t>
  </si>
  <si>
    <t xml:space="preserve">   ..................................................</t>
  </si>
  <si>
    <t xml:space="preserve">   (MOHAMAD KHAIRUL AMIRIN BIN ZAINAL ABIDIN)</t>
  </si>
  <si>
    <t xml:space="preserve">   Penolong Jurutera JA 5,</t>
  </si>
  <si>
    <t xml:space="preserve">   Bahagian Infrastruktur,</t>
  </si>
  <si>
    <t xml:space="preserve">   Unit Selenggara Infrastruktur.</t>
  </si>
  <si>
    <t xml:space="preserve">    ULASAN  JURUTERA </t>
  </si>
  <si>
    <t xml:space="preserve">   Anggaran Kontrak  : ...........................................................................................................</t>
  </si>
  <si>
    <t xml:space="preserve">   Tempoh Kontrak    : ..........................................................................................................</t>
  </si>
  <si>
    <t xml:space="preserve">   Lantikan                 : ..........................................................................................................</t>
  </si>
  <si>
    <t xml:space="preserve">                                    ..........................................................................................................</t>
  </si>
  <si>
    <t xml:space="preserve">   Tandatangan  :</t>
  </si>
  <si>
    <t xml:space="preserve">   Tarikh             :</t>
  </si>
  <si>
    <t xml:space="preserve">   ULASAN PENGARAH :</t>
  </si>
  <si>
    <t xml:space="preserve">   Rujuk kelulusan Jawatankuasa Sebutharga Majlis Perbandaran Selayang yang bersidang </t>
  </si>
  <si>
    <t xml:space="preserve">   pada 17 Disember 2024 dengan rotasi bagi syarikat :-</t>
  </si>
  <si>
    <t xml:space="preserve">   ............................................................................................................................................</t>
  </si>
  <si>
    <t xml:space="preserve">   Tarikh        :</t>
  </si>
  <si>
    <t xml:space="preserve">BORANG PRESTASI KONTRAKTOR / PEMBEKAL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</si>
</sst>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_-* #,##0.00_-;\-* #,##0.00_-;_-* &quot;-&quot;??_-;_-@_-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_(&quot;R&quot;* #,##0.00_);_(&quot;R&quot;* \(#,##0.00\);_(&quot;R&quot;* &quot;-&quot;??_);_(@_)"/>
    <numFmt numFmtId="168" formatCode="0.0"/>
    <numFmt numFmtId="169" formatCode="_-* #,##0_-;\-* #,##0_-;_-* &quot;-&quot;??_-;_-@_-"/>
    <numFmt numFmtId="170" formatCode="_-* #,##0.0_-;\-* #,##0.0_-;_-* &quot;-&quot;??_-;_-@_-"/>
    <numFmt numFmtId="171" formatCode="[$-4409]dd\ mmmm\ yyyy"/>
  </numFmts>
  <fonts count="49">
    <font>
      <sz val="11.000000"/>
      <color theme="1"/>
      <name val="Calibri"/>
      <scheme val="minor"/>
    </font>
    <font>
      <sz val="10.000000"/>
      <name val="Arial"/>
    </font>
    <font>
      <sz val="11.000000"/>
      <color indexed="64"/>
      <name val="Calibri"/>
    </font>
    <font>
      <sz val="8.000000"/>
      <color theme="1"/>
      <name val="Arial"/>
    </font>
    <font>
      <b/>
      <sz val="8.000000"/>
      <color theme="1"/>
      <name val="Arial"/>
    </font>
    <font>
      <b/>
      <u/>
      <sz val="8.000000"/>
      <color theme="1"/>
      <name val="Arial"/>
    </font>
    <font>
      <b/>
      <u/>
      <sz val="8.000000"/>
      <name val="Arial"/>
    </font>
    <font>
      <sz val="24.000000"/>
      <color theme="1"/>
      <name val="Arial"/>
    </font>
    <font>
      <b/>
      <sz val="24.000000"/>
      <color theme="1"/>
      <name val="Arial"/>
    </font>
    <font>
      <b/>
      <sz val="24.000000"/>
      <name val="Arial"/>
    </font>
    <font>
      <b/>
      <u/>
      <sz val="24.000000"/>
      <color indexed="64"/>
      <name val="Arial"/>
    </font>
    <font>
      <b/>
      <u/>
      <sz val="24.000000"/>
      <name val="Arial"/>
    </font>
    <font>
      <b/>
      <i/>
      <u/>
      <sz val="24.000000"/>
      <color indexed="64"/>
      <name val="Arial"/>
    </font>
    <font>
      <b/>
      <sz val="24.000000"/>
      <color indexed="64"/>
      <name val="Arial"/>
    </font>
    <font>
      <sz val="24.000000"/>
      <name val="Arial"/>
    </font>
    <font>
      <sz val="24.000000"/>
      <color rgb="FF0070C0"/>
      <name val="Arial"/>
    </font>
    <font>
      <b/>
      <sz val="24.000000"/>
      <color rgb="FF0070C0"/>
      <name val="Arial"/>
    </font>
    <font>
      <b/>
      <i/>
      <u/>
      <sz val="24.000000"/>
      <name val="Arial"/>
    </font>
    <font>
      <b/>
      <u/>
      <sz val="24.000000"/>
      <color theme="1"/>
      <name val="Arial"/>
    </font>
    <font>
      <b/>
      <i/>
      <u/>
      <sz val="24.000000"/>
      <color theme="1"/>
      <name val="Arial"/>
    </font>
    <font>
      <sz val="24.000000"/>
      <color indexed="64"/>
      <name val="Arial"/>
    </font>
    <font>
      <b/>
      <u/>
      <sz val="24.000000"/>
      <color rgb="FF0070C0"/>
      <name val="Arial"/>
    </font>
    <font>
      <b/>
      <sz val="24.000000"/>
      <color indexed="2"/>
      <name val="Arial"/>
    </font>
    <font>
      <b/>
      <sz val="26.000000"/>
      <color theme="1"/>
      <name val="Arial"/>
    </font>
    <font>
      <b/>
      <sz val="26.000000"/>
      <color indexed="64"/>
      <name val="Arial"/>
    </font>
    <font>
      <b/>
      <sz val="22.000000"/>
      <color theme="1"/>
      <name val="Arial"/>
    </font>
    <font>
      <b/>
      <sz val="26.000000"/>
      <color rgb="FF0070C0"/>
      <name val="Arial"/>
    </font>
    <font>
      <b/>
      <i/>
      <u/>
      <sz val="16.000000"/>
      <color indexed="64"/>
      <name val="Arial"/>
    </font>
    <font>
      <sz val="16.000000"/>
      <color theme="1"/>
      <name val="Arial"/>
    </font>
    <font>
      <sz val="16.000000"/>
      <name val="Arial"/>
    </font>
    <font>
      <b/>
      <sz val="22.000000"/>
      <color indexed="64"/>
      <name val="Arial"/>
    </font>
    <font>
      <sz val="22.000000"/>
      <color theme="1"/>
      <name val="Arial"/>
    </font>
    <font>
      <sz val="26.000000"/>
      <name val="Arial"/>
    </font>
    <font>
      <b/>
      <sz val="14.000000"/>
      <color theme="1"/>
      <name val="Century Gothic"/>
    </font>
    <font>
      <i/>
      <sz val="12.000000"/>
      <color theme="1"/>
      <name val="Century Gothic"/>
    </font>
    <font>
      <sz val="12.000000"/>
      <color theme="1"/>
      <name val="Arial"/>
    </font>
    <font>
      <b/>
      <sz val="12.000000"/>
      <color theme="1"/>
      <name val="Arial"/>
    </font>
    <font>
      <b/>
      <sz val="11.000000"/>
      <color indexed="64"/>
      <name val="Calibri"/>
    </font>
    <font>
      <b/>
      <sz val="11.000000"/>
      <color theme="1"/>
      <name val="Calibri"/>
      <scheme val="minor"/>
    </font>
    <font>
      <sz val="11.000000"/>
      <color theme="1"/>
      <name val="Arial"/>
    </font>
    <font>
      <i/>
      <sz val="8.000000"/>
      <color theme="1"/>
      <name val="Arial"/>
    </font>
    <font>
      <i/>
      <sz val="10.000000"/>
      <color theme="1"/>
      <name val="Arial"/>
    </font>
    <font>
      <i/>
      <sz val="12.000000"/>
      <color theme="1"/>
      <name val="Arial"/>
    </font>
    <font>
      <b/>
      <i/>
      <sz val="12.000000"/>
      <color theme="1"/>
      <name val="Arial"/>
    </font>
    <font>
      <sz val="9.000000"/>
      <color theme="1"/>
      <name val="Arial"/>
    </font>
    <font>
      <b/>
      <sz val="9.000000"/>
      <color theme="1"/>
      <name val="Arial"/>
    </font>
    <font>
      <b/>
      <sz val="14.000000"/>
      <color theme="1"/>
      <name val="Arial"/>
    </font>
    <font>
      <b/>
      <sz val="10.000000"/>
      <color theme="1"/>
      <name val="Arial"/>
    </font>
    <font>
      <sz val="10.00000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</patternFill>
    </fill>
    <fill>
      <patternFill patternType="solid">
        <fgColor theme="0" tint="-0.249977111117893"/>
      </patternFill>
    </fill>
    <fill>
      <patternFill patternType="solid">
        <fgColor theme="9" tint="-0.249977111117893"/>
      </patternFill>
    </fill>
    <fill>
      <patternFill patternType="solid">
        <fgColor rgb="FF4F81BD"/>
      </patternFill>
    </fill>
    <fill>
      <patternFill patternType="solid">
        <fgColor rgb="FFD0D8E8"/>
      </patternFill>
    </fill>
    <fill>
      <patternFill patternType="solid">
        <fgColor rgb="FFE9EDF4"/>
      </patternFill>
    </fill>
    <fill>
      <patternFill patternType="solid">
        <fgColor theme="1" tint="0.499984740745262"/>
      </patternFill>
    </fill>
  </fills>
  <borders count="52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none"/>
      <right style="none"/>
      <top style="none"/>
      <bottom style="dotted">
        <color auto="1"/>
      </bottom>
      <diagonal style="none"/>
    </border>
    <border>
      <left style="none"/>
      <right style="none"/>
      <top style="none"/>
      <bottom style="dashed">
        <color auto="1"/>
      </bottom>
      <diagonal style="none"/>
    </border>
    <border>
      <left style="medium">
        <color indexed="65"/>
      </left>
      <right style="medium">
        <color indexed="65"/>
      </right>
      <top style="medium">
        <color indexed="65"/>
      </top>
      <bottom style="thick">
        <color indexed="65"/>
      </bottom>
      <diagonal style="none"/>
    </border>
    <border>
      <left style="medium">
        <color indexed="65"/>
      </left>
      <right style="none"/>
      <top style="none"/>
      <bottom style="none"/>
      <diagonal style="none"/>
    </border>
    <border>
      <left style="medium">
        <color indexed="65"/>
      </left>
      <right style="medium">
        <color indexed="65"/>
      </right>
      <top style="thick">
        <color indexed="65"/>
      </top>
      <bottom style="medium">
        <color indexed="65"/>
      </bottom>
      <diagonal style="none"/>
    </border>
    <border>
      <left style="medium">
        <color indexed="65"/>
      </left>
      <right style="medium">
        <color indexed="65"/>
      </right>
      <top style="medium">
        <color indexed="65"/>
      </top>
      <bottom style="medium">
        <color indexed="65"/>
      </bottom>
      <diagonal style="none"/>
    </border>
    <border>
      <left style="thick">
        <color auto="1"/>
      </left>
      <right style="none"/>
      <top style="thick">
        <color auto="1"/>
      </top>
      <bottom style="none"/>
      <diagonal style="none"/>
    </border>
    <border>
      <left style="none"/>
      <right style="none"/>
      <top style="thick">
        <color auto="1"/>
      </top>
      <bottom style="none"/>
      <diagonal style="none"/>
    </border>
    <border>
      <left style="none"/>
      <right style="thick">
        <color auto="1"/>
      </right>
      <top style="thick">
        <color auto="1"/>
      </top>
      <bottom style="none"/>
      <diagonal style="none"/>
    </border>
    <border>
      <left style="thick">
        <color auto="1"/>
      </left>
      <right style="none"/>
      <top style="none"/>
      <bottom style="none"/>
      <diagonal style="none"/>
    </border>
    <border>
      <left style="none"/>
      <right style="thick">
        <color auto="1"/>
      </right>
      <top style="none"/>
      <bottom style="none"/>
      <diagonal style="none"/>
    </border>
    <border>
      <left style="thick">
        <color auto="1"/>
      </left>
      <right style="none"/>
      <top style="none"/>
      <bottom style="thick">
        <color auto="1"/>
      </bottom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none"/>
      <right style="thick">
        <color auto="1"/>
      </right>
      <top style="none"/>
      <bottom style="thick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22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1" fillId="0" borderId="0" numFmtId="165" applyNumberFormat="1" applyFont="0" applyFill="0" applyBorder="0" applyProtection="0"/>
    <xf fontId="1" fillId="0" borderId="0" numFmtId="164" applyNumberFormat="1" applyFont="0" applyFill="0" applyBorder="0" applyProtection="0"/>
    <xf fontId="1" fillId="0" borderId="0" numFmtId="165" applyNumberFormat="1" applyFont="0" applyFill="0" applyBorder="0" applyProtection="0"/>
    <xf fontId="2" fillId="0" borderId="0" numFmtId="165" applyNumberFormat="1" applyFont="0" applyFill="0" applyBorder="0" applyProtection="0"/>
    <xf fontId="2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1" fillId="0" borderId="0" numFmtId="165" applyNumberFormat="1" applyFont="0" applyFill="0" applyBorder="0" applyProtection="0"/>
    <xf fontId="1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6" applyNumberFormat="1" applyFont="0" applyFill="0" applyBorder="0" applyProtection="0"/>
    <xf fontId="1" fillId="0" borderId="0" numFmtId="167" applyNumberFormat="1" applyFont="0" applyFill="0" applyBorder="0" applyProtection="0"/>
    <xf fontId="1" fillId="0" borderId="0" numFmtId="167" applyNumberFormat="1" applyFont="0" applyFill="0" applyBorder="0" applyProtection="0"/>
    <xf fontId="1" fillId="0" borderId="0" numFmtId="167" applyNumberFormat="1" applyFont="0" applyFill="0" applyBorder="0" applyProtection="0"/>
    <xf fontId="1" fillId="0" borderId="0" numFmtId="167" applyNumberFormat="1" applyFont="0" applyFill="0" applyBorder="0" applyProtection="0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</cellStyleXfs>
  <cellXfs count="383">
    <xf fontId="0" fillId="0" borderId="0" numFmtId="0" xfId="0"/>
    <xf fontId="3" fillId="0" borderId="0" numFmtId="0" xfId="0" applyFont="1"/>
    <xf fontId="4" fillId="0" borderId="0" numFmtId="0" xfId="0" applyFont="1"/>
    <xf fontId="4" fillId="0" borderId="1" numFmtId="0" xfId="0" applyFont="1" applyBorder="1" applyAlignment="1">
      <alignment horizontal="justify" wrapText="1"/>
    </xf>
    <xf fontId="4" fillId="0" borderId="2" numFmtId="0" xfId="0" applyFont="1" applyBorder="1" applyAlignment="1">
      <alignment horizontal="justify" wrapText="1"/>
    </xf>
    <xf fontId="4" fillId="0" borderId="3" numFmtId="0" xfId="0" applyFont="1" applyBorder="1" applyAlignment="1">
      <alignment horizontal="justify" wrapText="1"/>
    </xf>
    <xf fontId="4" fillId="0" borderId="1" numFmtId="0" xfId="0" applyFont="1" applyBorder="1" applyAlignment="1">
      <alignment horizontal="center"/>
    </xf>
    <xf fontId="4" fillId="0" borderId="2" numFmtId="0" xfId="0" applyFont="1" applyBorder="1" applyAlignment="1">
      <alignment horizontal="center"/>
    </xf>
    <xf fontId="4" fillId="0" borderId="3" numFmtId="0" xfId="0" applyFont="1" applyBorder="1" applyAlignment="1">
      <alignment horizontal="center"/>
    </xf>
    <xf fontId="4" fillId="0" borderId="1" numFmtId="0" xfId="0" applyFont="1" applyBorder="1" applyAlignment="1">
      <alignment horizontal="left"/>
    </xf>
    <xf fontId="4" fillId="0" borderId="2" numFmtId="0" xfId="0" applyFont="1" applyBorder="1" applyAlignment="1">
      <alignment horizontal="left"/>
    </xf>
    <xf fontId="4" fillId="0" borderId="3" numFmtId="0" xfId="0" applyFont="1" applyBorder="1" applyAlignment="1">
      <alignment horizontal="left"/>
    </xf>
    <xf fontId="4" fillId="0" borderId="0" numFmtId="0" xfId="0" applyFont="1" applyAlignment="1">
      <alignment horizontal="center"/>
    </xf>
    <xf fontId="4" fillId="2" borderId="4" numFmtId="0" xfId="0" applyFont="1" applyFill="1" applyBorder="1" applyAlignment="1">
      <alignment horizontal="center" vertical="center" wrapText="1"/>
    </xf>
    <xf fontId="4" fillId="2" borderId="1" numFmtId="0" xfId="0" applyFont="1" applyFill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4" fillId="2" borderId="3" numFmtId="0" xfId="0" applyFont="1" applyFill="1" applyBorder="1" applyAlignment="1">
      <alignment horizontal="center" vertical="center" wrapText="1"/>
    </xf>
    <xf fontId="4" fillId="2" borderId="4" numFmtId="0" xfId="0" applyFont="1" applyFill="1" applyBorder="1" applyAlignment="1">
      <alignment vertical="center"/>
    </xf>
    <xf fontId="4" fillId="0" borderId="5" numFmtId="0" xfId="0" applyFont="1" applyBorder="1"/>
    <xf fontId="5" fillId="0" borderId="6" numFmtId="0" xfId="0" applyFont="1" applyBorder="1"/>
    <xf fontId="3" fillId="0" borderId="7" numFmtId="0" xfId="0" applyFont="1" applyBorder="1"/>
    <xf fontId="4" fillId="0" borderId="8" numFmtId="0" xfId="0" applyFont="1" applyBorder="1"/>
    <xf fontId="4" fillId="0" borderId="9" numFmtId="0" xfId="0" applyFont="1" applyBorder="1"/>
    <xf fontId="3" fillId="0" borderId="6" numFmtId="0" xfId="0" applyFont="1" applyBorder="1"/>
    <xf fontId="4" fillId="0" borderId="6" numFmtId="0" xfId="0" applyFont="1" applyBorder="1"/>
    <xf fontId="4" fillId="0" borderId="8" numFmtId="164" xfId="1" applyNumberFormat="1" applyFont="1" applyBorder="1"/>
    <xf fontId="4" fillId="0" borderId="9" numFmtId="164" xfId="1" applyNumberFormat="1" applyFont="1" applyBorder="1"/>
    <xf fontId="4" fillId="0" borderId="4" numFmtId="164" xfId="1" applyNumberFormat="1" applyFont="1" applyBorder="1"/>
    <xf fontId="4" fillId="0" borderId="4" numFmtId="0" xfId="0" applyFont="1" applyBorder="1"/>
    <xf fontId="4" fillId="0" borderId="6" numFmtId="0" xfId="0" applyFont="1" applyBorder="1" quotePrefix="1"/>
    <xf fontId="4" fillId="0" borderId="7" numFmtId="0" xfId="0" applyFont="1" applyBorder="1"/>
    <xf fontId="4" fillId="0" borderId="0" numFmtId="2" xfId="0" applyNumberFormat="1" applyFont="1"/>
    <xf fontId="6" fillId="0" borderId="8" numFmtId="0" xfId="0" applyFont="1" applyBorder="1" applyAlignment="1">
      <alignment horizontal="left"/>
    </xf>
    <xf fontId="4" fillId="0" borderId="8" numFmtId="2" xfId="0" applyNumberFormat="1" applyFont="1" applyBorder="1"/>
    <xf fontId="4" fillId="2" borderId="10" numFmtId="0" xfId="0" applyFont="1" applyFill="1" applyBorder="1" applyAlignment="1">
      <alignment horizontal="center" vertical="center" wrapText="1"/>
    </xf>
    <xf fontId="4" fillId="2" borderId="11" numFmtId="0" xfId="0" applyFont="1" applyFill="1" applyBorder="1" applyAlignment="1">
      <alignment horizontal="center" vertical="center" wrapText="1"/>
    </xf>
    <xf fontId="4" fillId="2" borderId="12" numFmtId="0" xfId="0" applyFont="1" applyFill="1" applyBorder="1" applyAlignment="1">
      <alignment horizontal="center" vertical="center" wrapText="1"/>
    </xf>
    <xf fontId="4" fillId="2" borderId="13" numFmtId="0" xfId="0" applyFont="1" applyFill="1" applyBorder="1" applyAlignment="1">
      <alignment horizontal="center" vertical="center" wrapText="1"/>
    </xf>
    <xf fontId="4" fillId="0" borderId="0" numFmtId="0" xfId="0" applyFont="1"/>
    <xf fontId="5" fillId="0" borderId="0" numFmtId="0" xfId="0" applyFont="1"/>
    <xf fontId="3" fillId="0" borderId="0" numFmtId="0" xfId="0" applyFont="1"/>
    <xf fontId="4" fillId="0" borderId="14" numFmtId="0" xfId="0" applyFont="1" applyBorder="1"/>
    <xf fontId="4" fillId="0" borderId="14" numFmtId="164" xfId="0" applyNumberFormat="1" applyFont="1" applyBorder="1"/>
    <xf fontId="3" fillId="0" borderId="14" numFmtId="0" xfId="0" applyFont="1" applyBorder="1"/>
    <xf fontId="4" fillId="0" borderId="10" numFmtId="0" xfId="0" applyFont="1" applyBorder="1" applyAlignment="1">
      <alignment horizontal="center"/>
    </xf>
    <xf fontId="4" fillId="0" borderId="11" numFmtId="0" xfId="0" applyFont="1" applyBorder="1" applyAlignment="1">
      <alignment horizontal="center"/>
    </xf>
    <xf fontId="4" fillId="0" borderId="12" numFmtId="0" xfId="0" applyFont="1" applyBorder="1" applyAlignment="1">
      <alignment horizontal="center"/>
    </xf>
    <xf fontId="4" fillId="0" borderId="13" numFmtId="164" xfId="1" applyNumberFormat="1" applyFont="1" applyBorder="1"/>
    <xf fontId="4" fillId="0" borderId="0" numFmtId="164" xfId="1" applyNumberFormat="1" applyFont="1"/>
    <xf fontId="4" fillId="0" borderId="15" numFmtId="0" xfId="0" applyFont="1" applyBorder="1"/>
    <xf fontId="4" fillId="0" borderId="15" numFmtId="0" xfId="0" applyFont="1" applyBorder="1" applyAlignment="1">
      <alignment horizontal="center"/>
    </xf>
    <xf fontId="3" fillId="0" borderId="15" numFmtId="0" xfId="0" applyFont="1" applyBorder="1"/>
    <xf fontId="7" fillId="0" borderId="0" numFmtId="0" xfId="0" applyFont="1"/>
    <xf fontId="7" fillId="0" borderId="0" numFmtId="0" xfId="0" applyFont="1" applyAlignment="1">
      <alignment horizontal="center"/>
    </xf>
    <xf fontId="7" fillId="0" borderId="0" numFmtId="168" xfId="0" applyNumberFormat="1" applyFont="1"/>
    <xf fontId="7" fillId="0" borderId="0" numFmtId="164" xfId="1" applyNumberFormat="1" applyFont="1"/>
    <xf fontId="8" fillId="0" borderId="0" numFmtId="0" xfId="0" applyFont="1"/>
    <xf fontId="9" fillId="0" borderId="16" numFmtId="0" xfId="0" applyFont="1" applyBorder="1" applyAlignment="1">
      <alignment horizontal="center" vertical="center" wrapText="1"/>
    </xf>
    <xf fontId="9" fillId="0" borderId="17" numFmtId="0" xfId="0" applyFont="1" applyBorder="1" applyAlignment="1">
      <alignment horizontal="center" vertical="center" wrapText="1"/>
    </xf>
    <xf fontId="9" fillId="0" borderId="18" numFmtId="0" xfId="0" applyFont="1" applyBorder="1" applyAlignment="1">
      <alignment horizontal="center" vertical="center" wrapText="1"/>
    </xf>
    <xf fontId="9" fillId="0" borderId="19" numFmtId="0" xfId="0" applyFont="1" applyBorder="1" applyAlignment="1">
      <alignment horizontal="center" vertical="center" wrapText="1"/>
    </xf>
    <xf fontId="9" fillId="0" borderId="20" numFmtId="0" xfId="0" applyFont="1" applyBorder="1" applyAlignment="1">
      <alignment horizontal="center" vertical="center" wrapText="1"/>
    </xf>
    <xf fontId="9" fillId="0" borderId="21" numFmtId="0" xfId="0" applyFont="1" applyBorder="1" applyAlignment="1">
      <alignment horizontal="center" vertical="center" wrapText="1"/>
    </xf>
    <xf fontId="8" fillId="0" borderId="19" numFmtId="0" xfId="0" applyFont="1" applyBorder="1" applyAlignment="1">
      <alignment horizontal="center"/>
    </xf>
    <xf fontId="8" fillId="0" borderId="20" numFmtId="0" xfId="0" applyFont="1" applyBorder="1" applyAlignment="1">
      <alignment horizontal="center"/>
    </xf>
    <xf fontId="8" fillId="0" borderId="21" numFmtId="0" xfId="0" applyFont="1" applyBorder="1" applyAlignment="1">
      <alignment horizontal="center"/>
    </xf>
    <xf fontId="8" fillId="0" borderId="1" numFmtId="0" xfId="0" applyFont="1" applyBorder="1" applyAlignment="1">
      <alignment horizontal="center"/>
    </xf>
    <xf fontId="8" fillId="0" borderId="2" numFmtId="0" xfId="0" applyFont="1" applyBorder="1" applyAlignment="1">
      <alignment horizontal="center"/>
    </xf>
    <xf fontId="8" fillId="0" borderId="3" numFmtId="0" xfId="0" applyFont="1" applyBorder="1" applyAlignment="1">
      <alignment horizontal="center"/>
    </xf>
    <xf fontId="8" fillId="3" borderId="4" numFmtId="0" xfId="0" applyFont="1" applyFill="1" applyBorder="1" applyAlignment="1">
      <alignment horizontal="center" vertical="center"/>
    </xf>
    <xf fontId="8" fillId="3" borderId="1" numFmtId="0" xfId="0" applyFont="1" applyFill="1" applyBorder="1" applyAlignment="1">
      <alignment horizontal="center" vertical="center"/>
    </xf>
    <xf fontId="8" fillId="3" borderId="2" numFmtId="0" xfId="0" applyFont="1" applyFill="1" applyBorder="1" applyAlignment="1">
      <alignment horizontal="center" vertical="center"/>
    </xf>
    <xf fontId="8" fillId="3" borderId="20" numFmtId="0" xfId="0" applyFont="1" applyFill="1" applyBorder="1" applyAlignment="1">
      <alignment horizontal="center" vertical="center"/>
    </xf>
    <xf fontId="8" fillId="3" borderId="21" numFmtId="0" xfId="0" applyFont="1" applyFill="1" applyBorder="1" applyAlignment="1">
      <alignment horizontal="center" vertical="center"/>
    </xf>
    <xf fontId="8" fillId="3" borderId="22" numFmtId="0" xfId="0" applyFont="1" applyFill="1" applyBorder="1" applyAlignment="1">
      <alignment horizontal="center" vertical="center" wrapText="1"/>
    </xf>
    <xf fontId="8" fillId="3" borderId="19" numFmtId="0" xfId="0" applyFont="1" applyFill="1" applyBorder="1" applyAlignment="1">
      <alignment horizontal="center" vertical="center" wrapText="1"/>
    </xf>
    <xf fontId="8" fillId="3" borderId="21" numFmtId="0" xfId="0" applyFont="1" applyFill="1" applyBorder="1" applyAlignment="1">
      <alignment horizontal="center" vertical="center" wrapText="1"/>
    </xf>
    <xf fontId="8" fillId="4" borderId="23" numFmtId="0" xfId="0" applyFont="1" applyFill="1" applyBorder="1" applyAlignment="1">
      <alignment horizontal="center" vertical="center" wrapText="1"/>
    </xf>
    <xf fontId="7" fillId="0" borderId="24" numFmtId="0" xfId="0" applyFont="1" applyBorder="1" applyAlignment="1">
      <alignment horizontal="center"/>
    </xf>
    <xf fontId="10" fillId="0" borderId="8" numFmtId="165" xfId="11" applyNumberFormat="1" applyFont="1" applyBorder="1"/>
    <xf fontId="7" fillId="0" borderId="25" numFmtId="0" xfId="0" applyFont="1" applyBorder="1"/>
    <xf fontId="7" fillId="0" borderId="26" numFmtId="0" xfId="0" applyFont="1" applyBorder="1" applyAlignment="1">
      <alignment horizontal="center"/>
    </xf>
    <xf fontId="7" fillId="0" borderId="27" numFmtId="0" xfId="0" applyFont="1" applyBorder="1" applyAlignment="1">
      <alignment horizontal="center"/>
    </xf>
    <xf fontId="8" fillId="0" borderId="28" numFmtId="0" xfId="0" applyFont="1" applyBorder="1"/>
    <xf fontId="10" fillId="0" borderId="6" numFmtId="165" xfId="11" applyNumberFormat="1" applyFont="1" applyBorder="1"/>
    <xf fontId="10" fillId="0" borderId="0" numFmtId="165" xfId="11" applyNumberFormat="1" applyFont="1"/>
    <xf fontId="7" fillId="0" borderId="8" numFmtId="0" xfId="0" applyFont="1" applyBorder="1"/>
    <xf fontId="7" fillId="0" borderId="6" numFmtId="0" xfId="0" applyFont="1" applyBorder="1" applyAlignment="1">
      <alignment horizontal="center"/>
    </xf>
    <xf fontId="7" fillId="0" borderId="7" numFmtId="0" xfId="0" applyFont="1" applyBorder="1" applyAlignment="1">
      <alignment horizontal="center"/>
    </xf>
    <xf fontId="8" fillId="0" borderId="8" numFmtId="0" xfId="0" applyFont="1" applyBorder="1"/>
    <xf fontId="11" fillId="0" borderId="8" numFmtId="0" xfId="2" applyFont="1" applyBorder="1"/>
    <xf fontId="12" fillId="0" borderId="6" numFmtId="165" xfId="11" applyNumberFormat="1" applyFont="1" applyBorder="1"/>
    <xf fontId="12" fillId="0" borderId="0" numFmtId="165" xfId="11" applyNumberFormat="1" applyFont="1"/>
    <xf fontId="13" fillId="0" borderId="24" numFmtId="0" xfId="0" applyFont="1" applyBorder="1" applyAlignment="1">
      <alignment horizontal="center"/>
    </xf>
    <xf fontId="14" fillId="0" borderId="8" numFmtId="0" xfId="2" applyFont="1" applyBorder="1" applyAlignment="1">
      <alignment vertical="center"/>
    </xf>
    <xf fontId="14" fillId="0" borderId="8" numFmtId="0" xfId="2" applyFont="1" applyBorder="1" applyAlignment="1">
      <alignment horizontal="left" vertical="center"/>
    </xf>
    <xf fontId="8" fillId="0" borderId="8" numFmtId="164" xfId="1" applyNumberFormat="1" applyFont="1" applyBorder="1"/>
    <xf fontId="8" fillId="0" borderId="6" numFmtId="164" xfId="1" applyNumberFormat="1" applyFont="1" applyBorder="1" applyAlignment="1">
      <alignment horizontal="center"/>
    </xf>
    <xf fontId="8" fillId="0" borderId="7" numFmtId="164" xfId="1" applyNumberFormat="1" applyFont="1" applyBorder="1" applyAlignment="1">
      <alignment horizontal="center"/>
    </xf>
    <xf fontId="8" fillId="0" borderId="6" numFmtId="164" xfId="0" applyNumberFormat="1" applyFont="1" applyBorder="1" applyAlignment="1">
      <alignment horizontal="center"/>
    </xf>
    <xf fontId="8" fillId="0" borderId="8" numFmtId="164" xfId="0" applyNumberFormat="1" applyFont="1" applyBorder="1"/>
    <xf fontId="14" fillId="0" borderId="0" numFmtId="0" xfId="0" applyFont="1" applyAlignment="1">
      <alignment vertical="top" wrapText="1"/>
    </xf>
    <xf fontId="14" fillId="0" borderId="6" numFmtId="0" xfId="2" applyFont="1" applyBorder="1" applyAlignment="1">
      <alignment vertical="center"/>
    </xf>
    <xf fontId="14" fillId="0" borderId="6" numFmtId="0" xfId="2" applyFont="1" applyBorder="1"/>
    <xf fontId="9" fillId="0" borderId="24" numFmtId="168" xfId="0" applyNumberFormat="1" applyFont="1" applyBorder="1" applyAlignment="1">
      <alignment horizontal="center"/>
    </xf>
    <xf fontId="8" fillId="0" borderId="4" numFmtId="164" xfId="1" applyNumberFormat="1" applyFont="1" applyBorder="1" applyAlignment="1">
      <alignment horizontal="center"/>
    </xf>
    <xf fontId="8" fillId="0" borderId="4" numFmtId="164" xfId="1" applyNumberFormat="1" applyFont="1" applyBorder="1"/>
    <xf fontId="8" fillId="3" borderId="3" numFmtId="0" xfId="0" applyFont="1" applyFill="1" applyBorder="1" applyAlignment="1">
      <alignment horizontal="center" vertical="center"/>
    </xf>
    <xf fontId="8" fillId="3" borderId="4" numFmtId="0" xfId="0" applyFont="1" applyFill="1" applyBorder="1" applyAlignment="1">
      <alignment horizontal="center" vertical="center" wrapText="1"/>
    </xf>
    <xf fontId="8" fillId="3" borderId="1" numFmtId="0" xfId="0" applyFont="1" applyFill="1" applyBorder="1" applyAlignment="1">
      <alignment horizontal="center" vertical="center" wrapText="1"/>
    </xf>
    <xf fontId="8" fillId="3" borderId="3" numFmtId="0" xfId="0" applyFont="1" applyFill="1" applyBorder="1" applyAlignment="1">
      <alignment horizontal="center" vertical="center" wrapText="1"/>
    </xf>
    <xf fontId="8" fillId="4" borderId="4" numFmtId="0" xfId="0" applyFont="1" applyFill="1" applyBorder="1" applyAlignment="1">
      <alignment horizontal="center" vertical="center" wrapText="1"/>
    </xf>
    <xf fontId="10" fillId="0" borderId="26" numFmtId="165" xfId="11" applyNumberFormat="1" applyFont="1" applyBorder="1" applyAlignment="1">
      <alignment horizontal="left"/>
    </xf>
    <xf fontId="10" fillId="0" borderId="17" numFmtId="165" xfId="11" applyNumberFormat="1" applyFont="1" applyBorder="1" applyAlignment="1">
      <alignment horizontal="left"/>
    </xf>
    <xf fontId="7" fillId="0" borderId="17" numFmtId="0" xfId="0" applyFont="1" applyBorder="1" applyAlignment="1">
      <alignment horizontal="center"/>
    </xf>
    <xf fontId="10" fillId="0" borderId="7" numFmtId="165" xfId="11" applyNumberFormat="1" applyFont="1" applyBorder="1"/>
    <xf fontId="11" fillId="0" borderId="6" numFmtId="0" xfId="2" applyFont="1" applyBorder="1"/>
    <xf fontId="8" fillId="0" borderId="24" numFmtId="0" xfId="0" applyFont="1" applyBorder="1" applyAlignment="1">
      <alignment horizontal="center"/>
    </xf>
    <xf fontId="11" fillId="0" borderId="6" numFmtId="0" xfId="0" applyFont="1" applyBorder="1"/>
    <xf fontId="11" fillId="0" borderId="0" numFmtId="0" xfId="0" applyFont="1"/>
    <xf fontId="11" fillId="0" borderId="7" numFmtId="0" xfId="0" applyFont="1" applyBorder="1"/>
    <xf fontId="8" fillId="0" borderId="6" numFmtId="0" xfId="0" applyFont="1" applyBorder="1" applyAlignment="1">
      <alignment horizontal="center"/>
    </xf>
    <xf fontId="8" fillId="0" borderId="7" numFmtId="0" xfId="0" applyFont="1" applyBorder="1" applyAlignment="1">
      <alignment horizontal="center"/>
    </xf>
    <xf fontId="14" fillId="0" borderId="8" numFmtId="0" xfId="2" applyFont="1" applyBorder="1"/>
    <xf fontId="14" fillId="0" borderId="6" numFmtId="0" xfId="11" applyFont="1" applyBorder="1"/>
    <xf fontId="13" fillId="0" borderId="0" numFmtId="166" xfId="4" applyNumberFormat="1" applyFont="1"/>
    <xf fontId="13" fillId="0" borderId="0" numFmtId="1" xfId="4" applyNumberFormat="1" applyFont="1"/>
    <xf fontId="9" fillId="0" borderId="0" numFmtId="0" xfId="2" applyFont="1" applyAlignment="1">
      <alignment wrapText="1"/>
    </xf>
    <xf fontId="13" fillId="0" borderId="0" numFmtId="2" xfId="1" applyNumberFormat="1" applyFont="1"/>
    <xf fontId="9" fillId="0" borderId="0" numFmtId="0" xfId="0" applyFont="1" applyAlignment="1">
      <alignment horizontal="left" wrapText="1"/>
    </xf>
    <xf fontId="15" fillId="0" borderId="0" numFmtId="0" xfId="0" applyFont="1"/>
    <xf fontId="16" fillId="0" borderId="24" numFmtId="0" xfId="0" applyFont="1" applyBorder="1" applyAlignment="1">
      <alignment horizontal="center"/>
    </xf>
    <xf fontId="16" fillId="0" borderId="0" numFmtId="0" xfId="0" applyFont="1"/>
    <xf fontId="16" fillId="0" borderId="0" numFmtId="166" xfId="4" applyNumberFormat="1" applyFont="1"/>
    <xf fontId="16" fillId="0" borderId="0" numFmtId="1" xfId="4" applyNumberFormat="1" applyFont="1"/>
    <xf fontId="16" fillId="0" borderId="0" numFmtId="2" xfId="1" applyNumberFormat="1" applyFont="1"/>
    <xf fontId="16" fillId="0" borderId="0" numFmtId="0" xfId="0" applyFont="1" applyAlignment="1">
      <alignment horizontal="left" wrapText="1"/>
    </xf>
    <xf fontId="15" fillId="0" borderId="0" numFmtId="0" xfId="0" applyFont="1" applyAlignment="1">
      <alignment horizontal="center"/>
    </xf>
    <xf fontId="16" fillId="0" borderId="8" numFmtId="0" xfId="0" applyFont="1" applyBorder="1"/>
    <xf fontId="16" fillId="0" borderId="8" numFmtId="164" xfId="0" applyNumberFormat="1" applyFont="1" applyBorder="1"/>
    <xf fontId="16" fillId="0" borderId="6" numFmtId="164" xfId="1" applyNumberFormat="1" applyFont="1" applyBorder="1" applyAlignment="1">
      <alignment horizontal="center"/>
    </xf>
    <xf fontId="16" fillId="0" borderId="7" numFmtId="164" xfId="1" applyNumberFormat="1" applyFont="1" applyBorder="1" applyAlignment="1">
      <alignment horizontal="center"/>
    </xf>
    <xf fontId="11" fillId="0" borderId="6" numFmtId="0" xfId="11" applyFont="1" applyBorder="1"/>
    <xf fontId="11" fillId="0" borderId="8" numFmtId="0" xfId="11" applyFont="1" applyBorder="1"/>
    <xf fontId="14" fillId="0" borderId="8" numFmtId="0" xfId="11" applyFont="1" applyBorder="1"/>
    <xf fontId="14" fillId="0" borderId="8" numFmtId="0" xfId="0" applyFont="1" applyBorder="1"/>
    <xf fontId="17" fillId="0" borderId="8" numFmtId="0" xfId="11" applyFont="1" applyBorder="1"/>
    <xf fontId="14" fillId="0" borderId="6" numFmtId="0" xfId="11" applyFont="1" applyBorder="1" applyAlignment="1">
      <alignment horizontal="left"/>
    </xf>
    <xf fontId="14" fillId="0" borderId="0" numFmtId="0" xfId="11" applyFont="1" applyAlignment="1">
      <alignment horizontal="left"/>
    </xf>
    <xf fontId="14" fillId="0" borderId="7" numFmtId="0" xfId="11" applyFont="1" applyBorder="1" applyAlignment="1">
      <alignment horizontal="left"/>
    </xf>
    <xf fontId="8" fillId="0" borderId="0" numFmtId="0" xfId="1" applyFont="1"/>
    <xf fontId="13" fillId="0" borderId="0" numFmtId="165" xfId="11" applyNumberFormat="1" applyFont="1"/>
    <xf fontId="8" fillId="0" borderId="8" numFmtId="169" xfId="0" applyNumberFormat="1" applyFont="1" applyBorder="1"/>
    <xf fontId="18" fillId="0" borderId="0" numFmtId="0" xfId="0" applyFont="1" applyAlignment="1">
      <alignment vertical="top" wrapText="1"/>
    </xf>
    <xf fontId="8" fillId="0" borderId="6" numFmtId="2" xfId="0" applyNumberFormat="1" applyFont="1" applyBorder="1" applyAlignment="1">
      <alignment horizontal="center"/>
    </xf>
    <xf fontId="8" fillId="0" borderId="7" numFmtId="2" xfId="0" applyNumberFormat="1" applyFont="1" applyBorder="1" applyAlignment="1">
      <alignment horizontal="center"/>
    </xf>
    <xf fontId="14" fillId="0" borderId="0" numFmtId="0" xfId="0" applyFont="1" applyAlignment="1">
      <alignment horizontal="center"/>
    </xf>
    <xf fontId="8" fillId="0" borderId="8" numFmtId="164" xfId="0" applyNumberFormat="1" applyFont="1" applyBorder="1" applyAlignment="1">
      <alignment horizontal="center" vertical="center"/>
    </xf>
    <xf fontId="13" fillId="0" borderId="0" numFmtId="2" xfId="4" applyNumberFormat="1" applyFont="1" applyAlignment="1">
      <alignment horizontal="center"/>
    </xf>
    <xf fontId="8" fillId="0" borderId="8" numFmtId="0" xfId="0" applyFont="1" applyBorder="1" applyAlignment="1">
      <alignment horizontal="center" vertical="center"/>
    </xf>
    <xf fontId="17" fillId="0" borderId="8" numFmtId="0" xfId="0" applyFont="1" applyBorder="1" applyAlignment="1">
      <alignment horizontal="left"/>
    </xf>
    <xf fontId="17" fillId="0" borderId="0" numFmtId="0" xfId="2" applyFont="1"/>
    <xf fontId="14" fillId="0" borderId="8" numFmtId="0" xfId="0" applyFont="1" applyBorder="1" applyAlignment="1">
      <alignment horizontal="left" vertical="top"/>
    </xf>
    <xf fontId="14" fillId="0" borderId="0" numFmtId="0" xfId="0" applyFont="1"/>
    <xf fontId="11" fillId="0" borderId="8" numFmtId="0" xfId="0" applyFont="1" applyBorder="1"/>
    <xf fontId="14" fillId="0" borderId="8" numFmtId="0" xfId="0" applyFont="1" applyBorder="1" quotePrefix="1"/>
    <xf fontId="7" fillId="0" borderId="0" numFmtId="164" xfId="0" applyNumberFormat="1" applyFont="1"/>
    <xf fontId="14" fillId="0" borderId="7" numFmtId="0" xfId="11" applyFont="1" applyBorder="1"/>
    <xf fontId="16" fillId="0" borderId="6" numFmtId="2" xfId="0" applyNumberFormat="1" applyFont="1" applyBorder="1" applyAlignment="1">
      <alignment horizontal="center"/>
    </xf>
    <xf fontId="16" fillId="0" borderId="7" numFmtId="2" xfId="0" applyNumberFormat="1" applyFont="1" applyBorder="1" applyAlignment="1">
      <alignment horizontal="center"/>
    </xf>
    <xf fontId="19" fillId="0" borderId="0" numFmtId="0" xfId="0" applyFont="1"/>
    <xf fontId="17" fillId="0" borderId="6" numFmtId="0" xfId="11" applyFont="1" applyBorder="1"/>
    <xf fontId="8" fillId="0" borderId="0" numFmtId="0" xfId="0" applyFont="1" applyAlignment="1">
      <alignment horizontal="left" wrapText="1"/>
    </xf>
    <xf fontId="20" fillId="0" borderId="8" numFmtId="0" xfId="2" applyFont="1" applyBorder="1"/>
    <xf fontId="14" fillId="0" borderId="6" numFmtId="0" xfId="0" applyFont="1" applyBorder="1"/>
    <xf fontId="18" fillId="0" borderId="0" numFmtId="0" xfId="0" applyFont="1"/>
    <xf fontId="16" fillId="0" borderId="6" numFmtId="0" xfId="11" applyFont="1" applyBorder="1"/>
    <xf fontId="21" fillId="0" borderId="0" numFmtId="0" xfId="0" applyFont="1" applyAlignment="1">
      <alignment vertical="top" wrapText="1"/>
    </xf>
    <xf fontId="16" fillId="0" borderId="0" numFmtId="0" xfId="0" applyFont="1" applyAlignment="1">
      <alignment horizontal="center"/>
    </xf>
    <xf fontId="14" fillId="0" borderId="29" numFmtId="0" xfId="11" applyFont="1" applyBorder="1" applyProtection="1"/>
    <xf fontId="22" fillId="0" borderId="0" numFmtId="0" xfId="0" applyFont="1"/>
    <xf fontId="22" fillId="0" borderId="24" numFmtId="0" xfId="0" applyFont="1" applyBorder="1" applyAlignment="1">
      <alignment horizontal="center"/>
    </xf>
    <xf fontId="22" fillId="0" borderId="8" numFmtId="0" xfId="0" applyFont="1" applyBorder="1" applyAlignment="1">
      <alignment horizontal="left" vertical="top"/>
    </xf>
    <xf fontId="22" fillId="0" borderId="0" numFmtId="166" xfId="4" applyNumberFormat="1" applyFont="1"/>
    <xf fontId="22" fillId="0" borderId="0" numFmtId="2" xfId="4" applyNumberFormat="1" applyFont="1" applyAlignment="1">
      <alignment horizontal="center"/>
    </xf>
    <xf fontId="22" fillId="0" borderId="0" numFmtId="0" xfId="2" applyFont="1" applyAlignment="1">
      <alignment wrapText="1"/>
    </xf>
    <xf fontId="22" fillId="0" borderId="0" numFmtId="0" xfId="0" applyFont="1" applyAlignment="1">
      <alignment horizontal="center"/>
    </xf>
    <xf fontId="22" fillId="0" borderId="8" numFmtId="0" xfId="0" applyFont="1" applyBorder="1"/>
    <xf fontId="22" fillId="0" borderId="6" numFmtId="164" xfId="1" applyNumberFormat="1" applyFont="1" applyBorder="1" applyAlignment="1">
      <alignment horizontal="center"/>
    </xf>
    <xf fontId="22" fillId="0" borderId="7" numFmtId="164" xfId="1" applyNumberFormat="1" applyFont="1" applyBorder="1" applyAlignment="1">
      <alignment horizontal="center"/>
    </xf>
    <xf fontId="14" fillId="0" borderId="7" numFmtId="0" xfId="0" applyFont="1" applyBorder="1"/>
    <xf fontId="9" fillId="0" borderId="8" numFmtId="0" xfId="0" applyFont="1" applyBorder="1"/>
    <xf fontId="7" fillId="0" borderId="16" numFmtId="0" xfId="0" applyFont="1" applyBorder="1" applyAlignment="1">
      <alignment horizontal="center"/>
    </xf>
    <xf fontId="10" fillId="0" borderId="16" numFmtId="165" xfId="11" applyNumberFormat="1" applyFont="1" applyBorder="1"/>
    <xf fontId="10" fillId="0" borderId="17" numFmtId="165" xfId="11" applyNumberFormat="1" applyFont="1" applyBorder="1"/>
    <xf fontId="10" fillId="0" borderId="17" numFmtId="165" xfId="11" applyNumberFormat="1" applyFont="1" applyBorder="1" applyAlignment="1">
      <alignment horizontal="center"/>
    </xf>
    <xf fontId="7" fillId="0" borderId="30" numFmtId="0" xfId="0" applyFont="1" applyBorder="1" applyAlignment="1">
      <alignment horizontal="center"/>
    </xf>
    <xf fontId="8" fillId="0" borderId="31" numFmtId="0" xfId="0" applyFont="1" applyBorder="1"/>
    <xf fontId="7" fillId="0" borderId="5" numFmtId="0" xfId="0" applyFont="1" applyBorder="1" applyAlignment="1">
      <alignment horizontal="center"/>
    </xf>
    <xf fontId="11" fillId="0" borderId="24" numFmtId="0" xfId="2" applyFont="1" applyBorder="1"/>
    <xf fontId="8" fillId="0" borderId="32" numFmtId="164" xfId="0" applyNumberFormat="1" applyFont="1" applyBorder="1" applyAlignment="1">
      <alignment horizontal="center"/>
    </xf>
    <xf fontId="8" fillId="0" borderId="23" numFmtId="164" xfId="0" applyNumberFormat="1" applyFont="1" applyBorder="1"/>
    <xf fontId="11" fillId="0" borderId="5" numFmtId="0" xfId="2" applyFont="1" applyBorder="1"/>
    <xf fontId="8" fillId="0" borderId="32" numFmtId="0" xfId="0" applyFont="1" applyBorder="1" applyAlignment="1">
      <alignment horizontal="center"/>
    </xf>
    <xf fontId="8" fillId="0" borderId="23" numFmtId="0" xfId="0" applyFont="1" applyBorder="1"/>
    <xf fontId="8" fillId="0" borderId="5" numFmtId="0" xfId="0" applyFont="1" applyBorder="1" applyAlignment="1">
      <alignment horizontal="center"/>
    </xf>
    <xf fontId="10" fillId="0" borderId="5" numFmtId="165" xfId="11" applyNumberFormat="1" applyFont="1" applyBorder="1" applyAlignment="1">
      <alignment horizontal="left"/>
    </xf>
    <xf fontId="10" fillId="0" borderId="0" numFmtId="165" xfId="11" applyNumberFormat="1" applyFont="1" applyAlignment="1">
      <alignment horizontal="left"/>
    </xf>
    <xf fontId="13" fillId="0" borderId="5" numFmtId="0" xfId="0" applyFont="1" applyBorder="1" applyAlignment="1">
      <alignment horizontal="center"/>
    </xf>
    <xf fontId="10" fillId="0" borderId="5" numFmtId="165" xfId="11" applyNumberFormat="1" applyFont="1" applyBorder="1"/>
    <xf fontId="8" fillId="0" borderId="22" numFmtId="0" xfId="0" applyFont="1" applyBorder="1"/>
    <xf fontId="9" fillId="0" borderId="1" numFmtId="0" xfId="2" applyFont="1" applyBorder="1" applyAlignment="1">
      <alignment horizontal="center" vertical="center"/>
    </xf>
    <xf fontId="9" fillId="0" borderId="2" numFmtId="0" xfId="2" applyFont="1" applyBorder="1" applyAlignment="1">
      <alignment horizontal="center" vertical="center"/>
    </xf>
    <xf fontId="9" fillId="0" borderId="3" numFmtId="0" xfId="2" applyFont="1" applyBorder="1" applyAlignment="1">
      <alignment horizontal="center" vertical="center"/>
    </xf>
    <xf fontId="8" fillId="0" borderId="4" numFmtId="164" xfId="0" applyNumberFormat="1" applyFont="1" applyBorder="1" applyAlignment="1">
      <alignment horizontal="center"/>
    </xf>
    <xf fontId="8" fillId="0" borderId="4" numFmtId="164" xfId="0" applyNumberFormat="1" applyFont="1" applyBorder="1"/>
    <xf fontId="23" fillId="0" borderId="0" numFmtId="164" xfId="1" applyNumberFormat="1" applyFont="1"/>
    <xf fontId="23" fillId="0" borderId="0" numFmtId="0" xfId="0" applyFont="1"/>
    <xf fontId="24" fillId="0" borderId="0" numFmtId="165" xfId="11" applyNumberFormat="1" applyFont="1"/>
    <xf fontId="24" fillId="0" borderId="0" numFmtId="2" xfId="4" applyNumberFormat="1" applyFont="1"/>
    <xf fontId="25" fillId="0" borderId="22" numFmtId="0" xfId="0" applyFont="1" applyBorder="1"/>
    <xf fontId="26" fillId="0" borderId="19" numFmtId="164" xfId="0" applyNumberFormat="1" applyFont="1" applyBorder="1" applyAlignment="1">
      <alignment horizontal="center"/>
    </xf>
    <xf fontId="26" fillId="0" borderId="21" numFmtId="0" xfId="0" applyFont="1" applyBorder="1" applyAlignment="1">
      <alignment horizontal="center"/>
    </xf>
    <xf fontId="23" fillId="0" borderId="0" numFmtId="170" xfId="0" applyNumberFormat="1" applyFont="1"/>
    <xf fontId="8" fillId="0" borderId="17" numFmtId="0" xfId="0" applyFont="1" applyBorder="1" applyAlignment="1">
      <alignment horizontal="center"/>
    </xf>
    <xf fontId="8" fillId="0" borderId="17" numFmtId="164" xfId="0" applyNumberFormat="1" applyFont="1" applyBorder="1" applyAlignment="1">
      <alignment horizontal="center"/>
    </xf>
    <xf fontId="14" fillId="0" borderId="0" numFmtId="0" xfId="2" applyFont="1" applyAlignment="1">
      <alignment vertical="center"/>
    </xf>
    <xf fontId="27" fillId="0" borderId="0" numFmtId="165" xfId="11" applyNumberFormat="1" applyFont="1"/>
    <xf fontId="28" fillId="0" borderId="0" numFmtId="0" xfId="0" applyFont="1" applyAlignment="1">
      <alignment horizontal="center"/>
    </xf>
    <xf fontId="23" fillId="0" borderId="0" numFmtId="164" xfId="1" applyNumberFormat="1" applyFont="1" applyAlignment="1">
      <alignment horizontal="center"/>
    </xf>
    <xf fontId="29" fillId="0" borderId="0" numFmtId="0" xfId="0" applyFont="1" applyAlignment="1">
      <alignment vertical="top" wrapText="1"/>
    </xf>
    <xf fontId="25" fillId="0" borderId="20" numFmtId="0" xfId="0" applyFont="1" applyBorder="1"/>
    <xf fontId="23" fillId="0" borderId="1" numFmtId="164" xfId="0" applyNumberFormat="1" applyFont="1" applyBorder="1" applyAlignment="1">
      <alignment horizontal="center"/>
    </xf>
    <xf fontId="23" fillId="0" borderId="2" numFmtId="0" xfId="0" applyFont="1" applyBorder="1" applyAlignment="1">
      <alignment horizontal="center"/>
    </xf>
    <xf fontId="23" fillId="0" borderId="3" numFmtId="0" xfId="0" applyFont="1" applyBorder="1" applyAlignment="1">
      <alignment horizontal="center"/>
    </xf>
    <xf fontId="25" fillId="0" borderId="0" numFmtId="0" xfId="0" applyFont="1"/>
    <xf fontId="30" fillId="0" borderId="1" numFmtId="0" xfId="20" applyFont="1" applyBorder="1" applyAlignment="1">
      <alignment horizontal="center"/>
    </xf>
    <xf fontId="30" fillId="0" borderId="2" numFmtId="0" xfId="20" applyFont="1" applyBorder="1" applyAlignment="1">
      <alignment horizontal="center"/>
    </xf>
    <xf fontId="30" fillId="0" borderId="3" numFmtId="0" xfId="20" applyFont="1" applyBorder="1" applyAlignment="1">
      <alignment horizontal="center"/>
    </xf>
    <xf fontId="8" fillId="0" borderId="4" numFmtId="4" xfId="0" applyNumberFormat="1" applyFont="1" applyBorder="1" applyAlignment="1">
      <alignment horizontal="center"/>
    </xf>
    <xf fontId="31" fillId="0" borderId="4" numFmtId="164" xfId="1" applyNumberFormat="1" applyFont="1" applyBorder="1" applyAlignment="1">
      <alignment horizontal="center" vertical="center"/>
    </xf>
    <xf fontId="31" fillId="0" borderId="4" numFmtId="0" xfId="0" applyFont="1" applyBorder="1" applyAlignment="1">
      <alignment horizontal="center"/>
    </xf>
    <xf fontId="32" fillId="0" borderId="0" numFmtId="0" xfId="2" applyFont="1" applyAlignment="1">
      <alignment vertical="center"/>
    </xf>
    <xf fontId="8" fillId="0" borderId="4" numFmtId="0" xfId="0" applyFont="1" applyBorder="1" applyAlignment="1">
      <alignment horizontal="center"/>
    </xf>
    <xf fontId="23" fillId="0" borderId="4" numFmtId="4" xfId="0" applyNumberFormat="1" applyFont="1" applyBorder="1" applyAlignment="1">
      <alignment horizontal="center"/>
    </xf>
    <xf fontId="13" fillId="0" borderId="0" numFmtId="2" xfId="4" applyNumberFormat="1" applyFont="1"/>
    <xf fontId="8" fillId="0" borderId="0" numFmtId="4" xfId="0" applyNumberFormat="1" applyFont="1"/>
    <xf fontId="8" fillId="0" borderId="0" numFmtId="164" xfId="0" applyNumberFormat="1" applyFont="1" applyAlignment="1">
      <alignment horizontal="center"/>
    </xf>
    <xf fontId="22" fillId="0" borderId="0" numFmtId="164" xfId="0" applyNumberFormat="1" applyFont="1"/>
    <xf fontId="8" fillId="0" borderId="0" numFmtId="0" xfId="0" applyFont="1" applyAlignment="1">
      <alignment horizontal="center"/>
    </xf>
    <xf fontId="13" fillId="0" borderId="0" numFmtId="1" xfId="4" applyNumberFormat="1" applyFont="1" applyAlignment="1">
      <alignment horizontal="center"/>
    </xf>
    <xf fontId="14" fillId="0" borderId="0" numFmtId="0" xfId="0" applyFont="1" applyAlignment="1">
      <alignment wrapText="1"/>
    </xf>
    <xf fontId="8" fillId="0" borderId="0" numFmtId="168" xfId="0" applyNumberFormat="1" applyFont="1"/>
    <xf fontId="8" fillId="0" borderId="0" numFmtId="164" xfId="1" applyNumberFormat="1" applyFont="1" applyAlignment="1">
      <alignment horizontal="left"/>
    </xf>
    <xf fontId="8" fillId="0" borderId="0" numFmtId="164" xfId="1" applyNumberFormat="1" applyFont="1"/>
    <xf fontId="8" fillId="0" borderId="0" numFmtId="164" xfId="1" applyNumberFormat="1" applyFont="1" applyAlignment="1">
      <alignment horizontal="center"/>
    </xf>
    <xf fontId="9" fillId="0" borderId="0" numFmtId="0" xfId="2" applyFont="1"/>
    <xf fontId="9" fillId="0" borderId="0" numFmtId="0" xfId="0" applyFont="1" applyAlignment="1">
      <alignment wrapText="1"/>
    </xf>
    <xf fontId="14" fillId="0" borderId="0" numFmtId="0" xfId="2" applyFont="1"/>
    <xf fontId="9" fillId="0" borderId="5" numFmtId="168" xfId="0" applyNumberFormat="1" applyFont="1" applyBorder="1" applyAlignment="1">
      <alignment horizontal="center"/>
    </xf>
    <xf fontId="11" fillId="0" borderId="0" numFmtId="0" xfId="2" applyFont="1" applyAlignment="1">
      <alignment horizontal="left" vertical="center"/>
    </xf>
    <xf fontId="8" fillId="0" borderId="0" numFmtId="2" xfId="0" applyNumberFormat="1" applyFont="1" applyAlignment="1">
      <alignment horizontal="center"/>
    </xf>
    <xf fontId="14" fillId="0" borderId="0" numFmtId="0" xfId="2" applyFont="1" applyAlignment="1">
      <alignment horizontal="left" vertical="center"/>
    </xf>
    <xf fontId="7" fillId="0" borderId="0" numFmtId="0" xfId="0" applyFont="1" applyAlignment="1">
      <alignment horizontal="center" vertical="center"/>
    </xf>
    <xf fontId="11" fillId="0" borderId="0" numFmtId="0" xfId="2" applyFont="1" applyAlignment="1">
      <alignment vertical="center"/>
    </xf>
    <xf fontId="33" fillId="0" borderId="0" numFmtId="0" xfId="0" applyFont="1" applyAlignment="1">
      <alignment horizontal="center" vertical="center"/>
    </xf>
    <xf fontId="34" fillId="0" borderId="0" numFmtId="0" xfId="0" applyFont="1" applyAlignment="1">
      <alignment horizontal="center"/>
    </xf>
    <xf fontId="35" fillId="0" borderId="0" numFmtId="0" xfId="0" applyFont="1" applyAlignment="1">
      <alignment horizontal="left" vertical="center"/>
    </xf>
    <xf fontId="35" fillId="0" borderId="0" numFmtId="0" xfId="0" applyFont="1" applyAlignment="1">
      <alignment horizontal="center" vertical="center"/>
    </xf>
    <xf fontId="35" fillId="0" borderId="0" numFmtId="0" xfId="0" applyFont="1" applyAlignment="1">
      <alignment horizontal="left" vertical="top" wrapText="1"/>
    </xf>
    <xf fontId="35" fillId="0" borderId="0" numFmtId="0" xfId="0" applyFont="1" applyAlignment="1">
      <alignment vertical="center"/>
    </xf>
    <xf fontId="36" fillId="0" borderId="0" numFmtId="0" xfId="0" applyFont="1" applyAlignment="1">
      <alignment vertical="center"/>
    </xf>
    <xf fontId="36" fillId="0" borderId="0" numFmtId="171" xfId="0" applyNumberFormat="1" applyFont="1" applyAlignment="1" quotePrefix="1">
      <alignment horizontal="left"/>
    </xf>
    <xf fontId="36" fillId="0" borderId="0" numFmtId="171" xfId="0" applyNumberFormat="1" applyFont="1" applyAlignment="1">
      <alignment horizontal="left"/>
    </xf>
    <xf fontId="35" fillId="0" borderId="0" numFmtId="0" xfId="0" applyFont="1"/>
    <xf fontId="35" fillId="0" borderId="0" numFmtId="0" xfId="0" applyFont="1" applyAlignment="1">
      <alignment horizontal="justify" wrapText="1"/>
    </xf>
    <xf fontId="35" fillId="0" borderId="0" numFmtId="0" xfId="0" applyFont="1" applyAlignment="1">
      <alignment horizontal="justify"/>
    </xf>
    <xf fontId="35" fillId="0" borderId="0" numFmtId="0" xfId="0" applyFont="1" applyAlignment="1">
      <alignment horizontal="left"/>
    </xf>
    <xf fontId="36" fillId="0" borderId="0" numFmtId="0" xfId="0" applyFont="1"/>
    <xf fontId="36" fillId="0" borderId="33" numFmtId="0" xfId="0" applyFont="1" applyBorder="1"/>
    <xf fontId="36" fillId="0" borderId="34" numFmtId="0" xfId="0" applyFont="1" applyBorder="1"/>
    <xf fontId="37" fillId="5" borderId="35" numFmtId="0" xfId="0" applyFont="1" applyFill="1" applyBorder="1" applyAlignment="1">
      <alignment horizontal="left" readingOrder="1" vertical="center" wrapText="1"/>
    </xf>
    <xf fontId="37" fillId="5" borderId="36" numFmtId="0" xfId="0" applyFont="1" applyFill="1" applyBorder="1" applyAlignment="1">
      <alignment horizontal="left" readingOrder="1" vertical="center" wrapText="1"/>
    </xf>
    <xf fontId="37" fillId="5" borderId="0" numFmtId="0" xfId="0" applyFont="1" applyFill="1" applyAlignment="1">
      <alignment horizontal="left" readingOrder="1" vertical="center" wrapText="1"/>
    </xf>
    <xf fontId="37" fillId="6" borderId="37" numFmtId="0" xfId="0" applyFont="1" applyFill="1" applyBorder="1" applyAlignment="1">
      <alignment horizontal="left" readingOrder="1" vertical="center" wrapText="1"/>
    </xf>
    <xf fontId="37" fillId="6" borderId="36" numFmtId="0" xfId="0" applyFont="1" applyFill="1" applyBorder="1" applyAlignment="1">
      <alignment horizontal="left" readingOrder="1" vertical="center" wrapText="1"/>
    </xf>
    <xf fontId="37" fillId="6" borderId="0" numFmtId="0" xfId="0" applyFont="1" applyFill="1" applyAlignment="1">
      <alignment horizontal="left" readingOrder="1" vertical="center" wrapText="1"/>
    </xf>
    <xf fontId="37" fillId="7" borderId="38" numFmtId="0" xfId="0" applyFont="1" applyFill="1" applyBorder="1" applyAlignment="1">
      <alignment horizontal="left" readingOrder="1" vertical="center" wrapText="1"/>
    </xf>
    <xf fontId="37" fillId="7" borderId="36" numFmtId="0" xfId="0" applyFont="1" applyFill="1" applyBorder="1" applyAlignment="1">
      <alignment horizontal="left" readingOrder="1" vertical="center" wrapText="1"/>
    </xf>
    <xf fontId="37" fillId="7" borderId="0" numFmtId="0" xfId="0" applyFont="1" applyFill="1" applyAlignment="1">
      <alignment horizontal="left" readingOrder="1" vertical="center" wrapText="1"/>
    </xf>
    <xf fontId="38" fillId="8" borderId="1" numFmtId="0" xfId="0" applyFont="1" applyFill="1" applyBorder="1" applyAlignment="1">
      <alignment horizontal="center"/>
    </xf>
    <xf fontId="38" fillId="8" borderId="2" numFmtId="0" xfId="0" applyFont="1" applyFill="1" applyBorder="1" applyAlignment="1">
      <alignment horizontal="center"/>
    </xf>
    <xf fontId="38" fillId="8" borderId="3" numFmtId="0" xfId="0" applyFont="1" applyFill="1" applyBorder="1" applyAlignment="1">
      <alignment horizontal="center"/>
    </xf>
    <xf fontId="0" fillId="0" borderId="39" numFmtId="0" xfId="0" applyBorder="1"/>
    <xf fontId="0" fillId="0" borderId="40" numFmtId="0" xfId="0" applyBorder="1"/>
    <xf fontId="0" fillId="0" borderId="41" numFmtId="0" xfId="0" applyBorder="1"/>
    <xf fontId="0" fillId="0" borderId="42" numFmtId="0" xfId="0" applyBorder="1"/>
    <xf fontId="0" fillId="0" borderId="0" numFmtId="0" xfId="0"/>
    <xf fontId="0" fillId="0" borderId="43" numFmtId="0" xfId="0" applyBorder="1"/>
    <xf fontId="0" fillId="0" borderId="44" numFmtId="0" xfId="0" applyBorder="1"/>
    <xf fontId="0" fillId="0" borderId="45" numFmtId="0" xfId="0" applyBorder="1"/>
    <xf fontId="0" fillId="0" borderId="46" numFmtId="0" xfId="0" applyBorder="1"/>
    <xf fontId="39" fillId="0" borderId="0" numFmtId="0" xfId="0" applyFont="1"/>
    <xf fontId="36" fillId="0" borderId="0" numFmtId="0" xfId="0" applyFont="1" applyAlignment="1">
      <alignment horizontal="center" vertical="center"/>
    </xf>
    <xf fontId="4" fillId="0" borderId="0" numFmtId="0" xfId="0" applyFont="1" applyAlignment="1">
      <alignment horizontal="center" vertical="center"/>
    </xf>
    <xf fontId="40" fillId="0" borderId="0" numFmtId="0" xfId="0" applyFont="1" applyAlignment="1">
      <alignment horizontal="center"/>
    </xf>
    <xf fontId="41" fillId="0" borderId="0" numFmtId="0" xfId="0" applyFont="1" applyAlignment="1">
      <alignment horizontal="center"/>
    </xf>
    <xf fontId="42" fillId="0" borderId="0" numFmtId="0" xfId="0" applyFont="1" applyAlignment="1">
      <alignment horizontal="center"/>
    </xf>
    <xf fontId="43" fillId="0" borderId="0" numFmtId="0" xfId="0" applyFont="1" applyAlignment="1">
      <alignment horizontal="center"/>
    </xf>
    <xf fontId="44" fillId="0" borderId="47" numFmtId="0" xfId="0" applyFont="1" applyBorder="1" applyAlignment="1">
      <alignment horizontal="left" vertical="center"/>
    </xf>
    <xf fontId="44" fillId="0" borderId="48" numFmtId="0" xfId="0" applyFont="1" applyBorder="1" applyAlignment="1">
      <alignment horizontal="left" vertical="center"/>
    </xf>
    <xf fontId="44" fillId="0" borderId="47" numFmtId="17" xfId="0" applyNumberFormat="1" applyFont="1" applyBorder="1" applyAlignment="1">
      <alignment horizontal="left" indent="6" vertical="center"/>
    </xf>
    <xf fontId="44" fillId="0" borderId="49" numFmtId="0" xfId="0" applyFont="1" applyBorder="1" applyAlignment="1">
      <alignment horizontal="left" indent="6" vertical="center"/>
    </xf>
    <xf fontId="44" fillId="0" borderId="48" numFmtId="0" xfId="0" applyFont="1" applyBorder="1" applyAlignment="1">
      <alignment horizontal="left" indent="6" vertical="center"/>
    </xf>
    <xf fontId="44" fillId="0" borderId="50" numFmtId="0" xfId="0" applyFont="1" applyBorder="1" applyAlignment="1">
      <alignment horizontal="left" vertical="center"/>
    </xf>
    <xf fontId="44" fillId="0" borderId="51" numFmtId="0" xfId="0" applyFont="1" applyBorder="1" applyAlignment="1">
      <alignment horizontal="left" vertical="center"/>
    </xf>
    <xf fontId="44" fillId="0" borderId="50" numFmtId="0" xfId="0" applyFont="1" applyBorder="1" applyAlignment="1">
      <alignment horizontal="left" indent="6" vertical="center"/>
    </xf>
    <xf fontId="44" fillId="0" borderId="15" numFmtId="0" xfId="0" applyFont="1" applyBorder="1" applyAlignment="1">
      <alignment horizontal="left" indent="6" vertical="center"/>
    </xf>
    <xf fontId="44" fillId="0" borderId="51" numFmtId="0" xfId="0" applyFont="1" applyBorder="1" applyAlignment="1">
      <alignment horizontal="left" indent="6" vertical="center"/>
    </xf>
    <xf fontId="44" fillId="0" borderId="47" numFmtId="0" xfId="0" applyFont="1" applyBorder="1" applyAlignment="1">
      <alignment vertical="center"/>
    </xf>
    <xf fontId="44" fillId="0" borderId="48" numFmtId="0" xfId="0" applyFont="1" applyBorder="1" applyAlignment="1">
      <alignment vertical="top" wrapText="1"/>
    </xf>
    <xf fontId="44" fillId="0" borderId="49" numFmtId="0" xfId="0" applyFont="1" applyBorder="1" applyAlignment="1">
      <alignment horizontal="left" indent="1" vertical="top" wrapText="1"/>
    </xf>
    <xf fontId="44" fillId="0" borderId="48" numFmtId="0" xfId="0" applyFont="1" applyBorder="1" applyAlignment="1">
      <alignment horizontal="left" indent="1" vertical="top" wrapText="1"/>
    </xf>
    <xf fontId="44" fillId="0" borderId="6" numFmtId="0" xfId="0" applyFont="1" applyBorder="1"/>
    <xf fontId="44" fillId="0" borderId="7" numFmtId="0" xfId="0" applyFont="1" applyBorder="1"/>
    <xf fontId="44" fillId="0" borderId="0" numFmtId="0" xfId="0" applyFont="1" applyAlignment="1">
      <alignment horizontal="left" indent="1"/>
    </xf>
    <xf fontId="44" fillId="0" borderId="7" numFmtId="0" xfId="0" applyFont="1" applyBorder="1" applyAlignment="1">
      <alignment horizontal="left" indent="1"/>
    </xf>
    <xf fontId="45" fillId="0" borderId="6" numFmtId="0" xfId="0" applyFont="1" applyBorder="1" applyAlignment="1">
      <alignment vertical="center"/>
    </xf>
    <xf fontId="44" fillId="0" borderId="47" numFmtId="0" xfId="0" applyFont="1" applyBorder="1"/>
    <xf fontId="44" fillId="0" borderId="48" numFmtId="0" xfId="0" applyFont="1" applyBorder="1" applyAlignment="1">
      <alignment horizontal="justify" wrapText="1"/>
    </xf>
    <xf fontId="44" fillId="0" borderId="49" numFmtId="0" xfId="0" applyFont="1" applyBorder="1" applyAlignment="1">
      <alignment horizontal="left" indent="1" wrapText="1"/>
    </xf>
    <xf fontId="44" fillId="0" borderId="48" numFmtId="0" xfId="0" applyFont="1" applyBorder="1" applyAlignment="1">
      <alignment horizontal="left" indent="1" wrapText="1"/>
    </xf>
    <xf fontId="44" fillId="0" borderId="0" numFmtId="0" xfId="0" applyFont="1" applyAlignment="1">
      <alignment horizontal="left" indent="3"/>
    </xf>
    <xf fontId="44" fillId="0" borderId="48" numFmtId="0" xfId="0" applyFont="1" applyBorder="1"/>
    <xf fontId="45" fillId="0" borderId="47" numFmtId="0" xfId="0" applyFont="1" applyBorder="1" applyAlignment="1">
      <alignment horizontal="left" indent="1" vertical="center" wrapText="1"/>
    </xf>
    <xf fontId="45" fillId="0" borderId="49" numFmtId="0" xfId="0" applyFont="1" applyBorder="1" applyAlignment="1">
      <alignment horizontal="left" indent="1" vertical="center" wrapText="1"/>
    </xf>
    <xf fontId="45" fillId="0" borderId="48" numFmtId="0" xfId="0" applyFont="1" applyBorder="1" applyAlignment="1">
      <alignment horizontal="left" indent="1" vertical="center" wrapText="1"/>
    </xf>
    <xf fontId="45" fillId="0" borderId="6" numFmtId="0" xfId="0" applyFont="1" applyBorder="1" applyAlignment="1">
      <alignment horizontal="left" indent="1" vertical="center" wrapText="1"/>
    </xf>
    <xf fontId="45" fillId="0" borderId="0" numFmtId="0" xfId="0" applyFont="1" applyAlignment="1">
      <alignment horizontal="left" indent="1" vertical="center" wrapText="1"/>
    </xf>
    <xf fontId="45" fillId="0" borderId="7" numFmtId="0" xfId="0" applyFont="1" applyBorder="1" applyAlignment="1">
      <alignment horizontal="left" indent="1" vertical="center" wrapText="1"/>
    </xf>
    <xf fontId="44" fillId="0" borderId="50" numFmtId="0" xfId="0" applyFont="1" applyBorder="1"/>
    <xf fontId="44" fillId="0" borderId="51" numFmtId="0" xfId="0" applyFont="1" applyBorder="1"/>
    <xf fontId="45" fillId="0" borderId="50" numFmtId="0" xfId="0" applyFont="1" applyBorder="1" applyAlignment="1">
      <alignment horizontal="left" indent="1" vertical="center" wrapText="1"/>
    </xf>
    <xf fontId="45" fillId="0" borderId="15" numFmtId="0" xfId="0" applyFont="1" applyBorder="1" applyAlignment="1">
      <alignment horizontal="left" indent="1" vertical="center" wrapText="1"/>
    </xf>
    <xf fontId="45" fillId="0" borderId="51" numFmtId="0" xfId="0" applyFont="1" applyBorder="1" applyAlignment="1">
      <alignment horizontal="left" indent="1" vertical="center" wrapText="1"/>
    </xf>
    <xf fontId="44" fillId="0" borderId="47" numFmtId="0" xfId="0" applyFont="1" applyBorder="1" applyAlignment="1">
      <alignment horizontal="left" indent="1" vertical="center"/>
    </xf>
    <xf fontId="44" fillId="0" borderId="49" numFmtId="0" xfId="0" applyFont="1" applyBorder="1" applyAlignment="1">
      <alignment horizontal="left" indent="1" vertical="center"/>
    </xf>
    <xf fontId="44" fillId="0" borderId="48" numFmtId="0" xfId="0" applyFont="1" applyBorder="1" applyAlignment="1">
      <alignment horizontal="left" indent="1" vertical="center"/>
    </xf>
    <xf fontId="44" fillId="0" borderId="50" numFmtId="0" xfId="0" applyFont="1" applyBorder="1" applyAlignment="1">
      <alignment horizontal="left" indent="1" vertical="center"/>
    </xf>
    <xf fontId="44" fillId="0" borderId="15" numFmtId="0" xfId="0" applyFont="1" applyBorder="1" applyAlignment="1">
      <alignment horizontal="left" indent="1" vertical="center"/>
    </xf>
    <xf fontId="44" fillId="0" borderId="51" numFmtId="0" xfId="0" applyFont="1" applyBorder="1" applyAlignment="1">
      <alignment horizontal="left" indent="1" vertical="center"/>
    </xf>
    <xf fontId="44" fillId="0" borderId="0" numFmtId="0" xfId="0" applyFont="1"/>
    <xf fontId="44" fillId="0" borderId="6" numFmtId="0" xfId="0" applyFont="1" applyBorder="1" applyAlignment="1">
      <alignment horizontal="left"/>
    </xf>
    <xf fontId="44" fillId="0" borderId="0" numFmtId="0" xfId="0" applyFont="1" applyAlignment="1">
      <alignment horizontal="justify" vertical="top" wrapText="1"/>
    </xf>
    <xf fontId="45" fillId="0" borderId="6" numFmtId="0" xfId="0" applyFont="1" applyBorder="1"/>
    <xf fontId="44" fillId="0" borderId="0" numFmtId="0" xfId="0" applyFont="1" applyAlignment="1">
      <alignment horizontal="justify" vertical="top"/>
    </xf>
    <xf fontId="44" fillId="0" borderId="7" numFmtId="0" xfId="0" applyFont="1" applyBorder="1" applyAlignment="1">
      <alignment horizontal="justify" vertical="top"/>
    </xf>
    <xf fontId="45" fillId="0" borderId="0" numFmtId="0" xfId="0" applyFont="1"/>
    <xf fontId="45" fillId="0" borderId="7" numFmtId="0" xfId="0" applyFont="1" applyBorder="1"/>
    <xf fontId="44" fillId="0" borderId="15" numFmtId="0" xfId="0" applyFont="1" applyBorder="1"/>
    <xf fontId="39" fillId="0" borderId="47" numFmtId="0" xfId="0" applyFont="1" applyBorder="1"/>
    <xf fontId="39" fillId="0" borderId="49" numFmtId="0" xfId="0" applyFont="1" applyBorder="1"/>
    <xf fontId="39" fillId="0" borderId="48" numFmtId="0" xfId="0" applyFont="1" applyBorder="1"/>
    <xf fontId="39" fillId="0" borderId="6" numFmtId="0" xfId="0" applyFont="1" applyBorder="1"/>
    <xf fontId="39" fillId="0" borderId="7" numFmtId="0" xfId="0" applyFont="1" applyBorder="1"/>
    <xf fontId="39" fillId="0" borderId="6" numFmtId="0" xfId="0" applyFont="1" applyBorder="1" applyAlignment="1">
      <alignment horizontal="justify" vertical="top" wrapText="1"/>
    </xf>
    <xf fontId="39" fillId="0" borderId="0" numFmtId="0" xfId="0" applyFont="1" applyAlignment="1">
      <alignment horizontal="justify" vertical="top" wrapText="1"/>
    </xf>
    <xf fontId="39" fillId="0" borderId="7" numFmtId="0" xfId="0" applyFont="1" applyBorder="1" applyAlignment="1">
      <alignment horizontal="justify" vertical="top" wrapText="1"/>
    </xf>
    <xf fontId="39" fillId="0" borderId="50" numFmtId="0" xfId="0" applyFont="1" applyBorder="1"/>
    <xf fontId="39" fillId="0" borderId="15" numFmtId="0" xfId="0" applyFont="1" applyBorder="1"/>
    <xf fontId="39" fillId="0" borderId="51" numFmtId="0" xfId="0" applyFont="1" applyBorder="1"/>
    <xf fontId="46" fillId="0" borderId="0" numFmtId="0" xfId="0" applyFont="1" applyAlignment="1">
      <alignment horizontal="center" vertical="center"/>
    </xf>
    <xf fontId="47" fillId="0" borderId="0" numFmtId="0" xfId="0" applyFont="1" applyAlignment="1">
      <alignment horizontal="center" vertical="center"/>
    </xf>
    <xf fontId="36" fillId="0" borderId="0" numFmtId="0" xfId="0" applyFont="1" applyAlignment="1">
      <alignment horizontal="center"/>
    </xf>
    <xf fontId="48" fillId="0" borderId="0" numFmtId="0" xfId="0" applyFont="1"/>
    <xf fontId="48" fillId="0" borderId="0" numFmtId="0" xfId="0" applyFont="1" applyAlignment="1">
      <alignment vertical="center"/>
    </xf>
    <xf fontId="47" fillId="0" borderId="0" numFmtId="171" xfId="0" applyNumberFormat="1" applyFont="1" applyAlignment="1" quotePrefix="1">
      <alignment horizontal="left"/>
    </xf>
    <xf fontId="47" fillId="0" borderId="0" numFmtId="171" xfId="0" applyNumberFormat="1" applyFont="1" applyAlignment="1">
      <alignment horizontal="left"/>
    </xf>
    <xf fontId="35" fillId="0" borderId="0" numFmtId="0" xfId="0" applyFont="1" applyAlignment="1">
      <alignment vertical="top" wrapText="1"/>
    </xf>
    <xf fontId="48" fillId="0" borderId="0" numFmtId="0" xfId="0" applyFont="1" applyAlignment="1">
      <alignment horizontal="left" vertical="top" wrapText="1"/>
    </xf>
    <xf fontId="47" fillId="0" borderId="0" numFmtId="0" xfId="0" applyFont="1" applyAlignment="1">
      <alignment vertical="center"/>
    </xf>
    <xf fontId="48" fillId="0" borderId="0" numFmtId="0" xfId="0" applyFont="1" applyAlignment="1">
      <alignment horizontal="left" wrapText="1"/>
    </xf>
    <xf fontId="48" fillId="0" borderId="0" numFmtId="0" xfId="0" applyFont="1" applyAlignment="1">
      <alignment horizontal="left"/>
    </xf>
  </cellXfs>
  <cellStyles count="22">
    <cellStyle name="Comma" xfId="1" builtinId="3"/>
    <cellStyle name="Comma 2" xfId="2"/>
    <cellStyle name="Comma 2 2" xfId="3"/>
    <cellStyle name="Comma 3" xfId="4"/>
    <cellStyle name="Comma 3 2" xfId="5"/>
    <cellStyle name="Comma 3 2 2" xfId="6"/>
    <cellStyle name="Comma 3 3" xfId="7"/>
    <cellStyle name="Comma 4" xfId="8"/>
    <cellStyle name="Comma 4 2" xfId="9"/>
    <cellStyle name="Comma 5" xfId="10"/>
    <cellStyle name="Comma 5 3" xfId="11"/>
    <cellStyle name="Comma 5 3 2" xfId="12"/>
    <cellStyle name="Comma 6" xfId="13"/>
    <cellStyle name="Currency 2" xfId="14"/>
    <cellStyle name="Currency 2 2" xfId="15"/>
    <cellStyle name="Currency 2 3" xfId="16"/>
    <cellStyle name="Currency 2 4" xfId="17"/>
    <cellStyle name="Currency 2 5" xfId="18"/>
    <cellStyle name="Normal" xfId="0" builtinId="0"/>
    <cellStyle name="Normal 2" xfId="19"/>
    <cellStyle name="Normal 3" xfId="20"/>
    <cellStyle name="Normal 4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1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9</xdr:col>
      <xdr:colOff>520019</xdr:colOff>
      <xdr:row>18</xdr:row>
      <xdr:rowOff>103481</xdr:rowOff>
    </xdr:from>
    <xdr:to>
      <xdr:col>12</xdr:col>
      <xdr:colOff>168343</xdr:colOff>
      <xdr:row>28</xdr:row>
      <xdr:rowOff>158454</xdr:rowOff>
    </xdr:to>
    <xdr:pic>
      <xdr:nvPicPr>
        <xdr:cNvPr id="7" name="Picture 6"/>
        <xdr:cNvPicPr/>
      </xdr:nvPicPr>
      <xdr:blipFill rotWithShape="1">
        <a:blip r:embed="rId1"/>
        <a:stretch/>
      </xdr:blipFill>
      <xdr:spPr bwMode="auto">
        <a:xfrm>
          <a:off x="6163583" y="4068263"/>
          <a:ext cx="1469979" cy="195997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6</xdr:col>
      <xdr:colOff>539217</xdr:colOff>
      <xdr:row>18</xdr:row>
      <xdr:rowOff>103480</xdr:rowOff>
    </xdr:from>
    <xdr:to>
      <xdr:col>9</xdr:col>
      <xdr:colOff>187542</xdr:colOff>
      <xdr:row>28</xdr:row>
      <xdr:rowOff>158457</xdr:rowOff>
    </xdr:to>
    <xdr:pic>
      <xdr:nvPicPr>
        <xdr:cNvPr id="8" name="Picture 7"/>
        <xdr:cNvPicPr/>
      </xdr:nvPicPr>
      <xdr:blipFill rotWithShape="1">
        <a:blip r:embed="rId2"/>
        <a:stretch/>
      </xdr:blipFill>
      <xdr:spPr bwMode="auto">
        <a:xfrm>
          <a:off x="4361123" y="4068262"/>
          <a:ext cx="1469982" cy="195997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9</xdr:col>
      <xdr:colOff>512685</xdr:colOff>
      <xdr:row>6</xdr:row>
      <xdr:rowOff>22622</xdr:rowOff>
    </xdr:from>
    <xdr:to>
      <xdr:col>12</xdr:col>
      <xdr:colOff>161008</xdr:colOff>
      <xdr:row>16</xdr:row>
      <xdr:rowOff>77594</xdr:rowOff>
    </xdr:to>
    <xdr:pic>
      <xdr:nvPicPr>
        <xdr:cNvPr id="9" name="Picture 8"/>
        <xdr:cNvPicPr/>
      </xdr:nvPicPr>
      <xdr:blipFill rotWithShape="1">
        <a:blip r:embed="rId3"/>
        <a:stretch/>
      </xdr:blipFill>
      <xdr:spPr bwMode="auto">
        <a:xfrm>
          <a:off x="6156248" y="1701403"/>
          <a:ext cx="1469979" cy="195997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6</xdr:col>
      <xdr:colOff>569024</xdr:colOff>
      <xdr:row>6</xdr:row>
      <xdr:rowOff>21132</xdr:rowOff>
    </xdr:from>
    <xdr:to>
      <xdr:col>9</xdr:col>
      <xdr:colOff>214979</xdr:colOff>
      <xdr:row>16</xdr:row>
      <xdr:rowOff>72948</xdr:rowOff>
    </xdr:to>
    <xdr:pic>
      <xdr:nvPicPr>
        <xdr:cNvPr id="10" name="Picture 9"/>
        <xdr:cNvPicPr/>
      </xdr:nvPicPr>
      <xdr:blipFill rotWithShape="1">
        <a:blip r:embed="rId4"/>
        <a:stretch/>
      </xdr:blipFill>
      <xdr:spPr bwMode="auto">
        <a:xfrm>
          <a:off x="4390930" y="1699913"/>
          <a:ext cx="1467612" cy="195681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10</xdr:col>
      <xdr:colOff>93762</xdr:colOff>
      <xdr:row>36</xdr:row>
      <xdr:rowOff>23811</xdr:rowOff>
    </xdr:from>
    <xdr:ext cx="1455539" cy="1940719"/>
    <xdr:pic>
      <xdr:nvPicPr>
        <xdr:cNvPr id="4" name="Picture 3"/>
        <xdr:cNvPicPr/>
      </xdr:nvPicPr>
      <xdr:blipFill rotWithShape="1">
        <a:blip r:embed="rId5"/>
        <a:stretch/>
      </xdr:blipFill>
      <xdr:spPr bwMode="auto">
        <a:xfrm>
          <a:off x="6344543" y="7524749"/>
          <a:ext cx="1455539" cy="194071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oneCellAnchor>
    <xdr:from>
      <xdr:col>7</xdr:col>
      <xdr:colOff>84060</xdr:colOff>
      <xdr:row>47</xdr:row>
      <xdr:rowOff>177520</xdr:rowOff>
    </xdr:from>
    <xdr:ext cx="3047284" cy="1560791"/>
    <xdr:pic>
      <xdr:nvPicPr>
        <xdr:cNvPr id="6" name="Picture 5"/>
        <xdr:cNvPicPr/>
      </xdr:nvPicPr>
      <xdr:blipFill rotWithShape="1">
        <a:blip r:embed="rId6"/>
        <a:stretch/>
      </xdr:blipFill>
      <xdr:spPr bwMode="auto">
        <a:xfrm>
          <a:off x="4513185" y="9773958"/>
          <a:ext cx="3047283" cy="156079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oneCellAnchor>
    <xdr:from>
      <xdr:col>6</xdr:col>
      <xdr:colOff>569024</xdr:colOff>
      <xdr:row>36</xdr:row>
      <xdr:rowOff>21132</xdr:rowOff>
    </xdr:from>
    <xdr:ext cx="1467612" cy="1956816"/>
    <xdr:pic>
      <xdr:nvPicPr>
        <xdr:cNvPr id="11" name="Picture 10"/>
        <xdr:cNvPicPr/>
      </xdr:nvPicPr>
      <xdr:blipFill rotWithShape="1">
        <a:blip r:embed="rId7"/>
        <a:stretch/>
      </xdr:blipFill>
      <xdr:spPr bwMode="auto">
        <a:xfrm>
          <a:off x="4390930" y="7522070"/>
          <a:ext cx="1467612" cy="195681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twoCellAnchor editAs="oneCell">
    <xdr:from>
      <xdr:col>0</xdr:col>
      <xdr:colOff>83343</xdr:colOff>
      <xdr:row>9</xdr:row>
      <xdr:rowOff>11905</xdr:rowOff>
    </xdr:from>
    <xdr:to>
      <xdr:col>5</xdr:col>
      <xdr:colOff>500060</xdr:colOff>
      <xdr:row>26</xdr:row>
      <xdr:rowOff>117294</xdr:rowOff>
    </xdr:to>
    <xdr:pic>
      <xdr:nvPicPr>
        <xdr:cNvPr id="12" name="Picture 11"/>
        <xdr:cNvPicPr/>
      </xdr:nvPicPr>
      <xdr:blipFill rotWithShape="1">
        <a:blip r:embed="rId8"/>
        <a:stretch/>
      </xdr:blipFill>
      <xdr:spPr bwMode="auto">
        <a:xfrm>
          <a:off x="83343" y="2262187"/>
          <a:ext cx="3631406" cy="334388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twoCell">
    <xdr:from>
      <xdr:col>1</xdr:col>
      <xdr:colOff>5771</xdr:colOff>
      <xdr:row>17</xdr:row>
      <xdr:rowOff>95256</xdr:rowOff>
    </xdr:from>
    <xdr:to>
      <xdr:col>4</xdr:col>
      <xdr:colOff>23808</xdr:colOff>
      <xdr:row>22</xdr:row>
      <xdr:rowOff>164034</xdr:rowOff>
    </xdr:to>
    <xdr:sp>
      <xdr:nvSpPr>
        <xdr:cNvPr id="13" name="Rectangle 12"/>
        <xdr:cNvSpPr/>
      </xdr:nvSpPr>
      <xdr:spPr bwMode="auto">
        <a:xfrm rot="5400000">
          <a:off x="1200792" y="3460329"/>
          <a:ext cx="1021278" cy="183969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MY" sz="1100"/>
        </a:p>
      </xdr:txBody>
    </xdr:sp>
    <xdr:clientData/>
  </xdr:twoCellAnchor>
  <xdr:twoCellAnchor editAs="oneCell">
    <xdr:from>
      <xdr:col>0</xdr:col>
      <xdr:colOff>178592</xdr:colOff>
      <xdr:row>39</xdr:row>
      <xdr:rowOff>11904</xdr:rowOff>
    </xdr:from>
    <xdr:to>
      <xdr:col>5</xdr:col>
      <xdr:colOff>416717</xdr:colOff>
      <xdr:row>55</xdr:row>
      <xdr:rowOff>130968</xdr:rowOff>
    </xdr:to>
    <xdr:pic>
      <xdr:nvPicPr>
        <xdr:cNvPr id="14" name="Picture 13"/>
        <xdr:cNvPicPr/>
      </xdr:nvPicPr>
      <xdr:blipFill rotWithShape="1">
        <a:blip r:embed="rId9"/>
        <a:stretch/>
      </xdr:blipFill>
      <xdr:spPr bwMode="auto">
        <a:xfrm>
          <a:off x="178591" y="8084342"/>
          <a:ext cx="3452812" cy="316706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twoCell">
    <xdr:from>
      <xdr:col>3</xdr:col>
      <xdr:colOff>8877</xdr:colOff>
      <xdr:row>47</xdr:row>
      <xdr:rowOff>52802</xdr:rowOff>
    </xdr:from>
    <xdr:to>
      <xdr:col>3</xdr:col>
      <xdr:colOff>605032</xdr:colOff>
      <xdr:row>51</xdr:row>
      <xdr:rowOff>4324</xdr:rowOff>
    </xdr:to>
    <xdr:sp>
      <xdr:nvSpPr>
        <xdr:cNvPr id="2" name="Rectangle 1"/>
        <xdr:cNvSpPr/>
      </xdr:nvSpPr>
      <xdr:spPr bwMode="auto">
        <a:xfrm rot="1586620">
          <a:off x="2009127" y="9649240"/>
          <a:ext cx="596155" cy="71352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M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295274</xdr:colOff>
      <xdr:row>0</xdr:row>
      <xdr:rowOff>85725</xdr:rowOff>
    </xdr:from>
    <xdr:to>
      <xdr:col>1</xdr:col>
      <xdr:colOff>515619</xdr:colOff>
      <xdr:row>5</xdr:row>
      <xdr:rowOff>57150</xdr:rowOff>
    </xdr:to>
    <xdr:pic>
      <xdr:nvPicPr>
        <xdr:cNvPr id="3" name="Picture 2" descr="logohuruf"/>
        <xdr:cNvPicPr/>
      </xdr:nvPicPr>
      <xdr:blipFill rotWithShape="1">
        <a:blip r:embed="rId1"/>
        <a:stretch/>
      </xdr:blipFill>
      <xdr:spPr bwMode="auto">
        <a:xfrm>
          <a:off x="295274" y="85725"/>
          <a:ext cx="87757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76200</xdr:colOff>
      <xdr:row>0</xdr:row>
      <xdr:rowOff>85725</xdr:rowOff>
    </xdr:from>
    <xdr:to>
      <xdr:col>8</xdr:col>
      <xdr:colOff>383540</xdr:colOff>
      <xdr:row>5</xdr:row>
      <xdr:rowOff>140335</xdr:rowOff>
    </xdr:to>
    <xdr:pic>
      <xdr:nvPicPr>
        <xdr:cNvPr id="4" name="Picture 3" descr="gitu"/>
        <xdr:cNvPicPr/>
      </xdr:nvPicPr>
      <xdr:blipFill rotWithShape="1">
        <a:blip r:embed="rId2">
          <a:clrChange>
            <a:clrFrom>
              <a:srgbClr val="F9FBFB"/>
            </a:clrFrom>
            <a:clrTo>
              <a:srgbClr val="F9FBFB">
                <a:alpha val="0"/>
              </a:srgbClr>
            </a:clrTo>
          </a:clrChange>
        </a:blip>
        <a:stretch/>
      </xdr:blipFill>
      <xdr:spPr bwMode="auto">
        <a:xfrm>
          <a:off x="4733925" y="85725"/>
          <a:ext cx="964564" cy="9975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3</xdr:col>
      <xdr:colOff>581025</xdr:colOff>
      <xdr:row>0</xdr:row>
      <xdr:rowOff>161924</xdr:rowOff>
    </xdr:from>
    <xdr:to>
      <xdr:col>5</xdr:col>
      <xdr:colOff>144145</xdr:colOff>
      <xdr:row>5</xdr:row>
      <xdr:rowOff>76200</xdr:rowOff>
    </xdr:to>
    <xdr:pic>
      <xdr:nvPicPr>
        <xdr:cNvPr id="2" name="Picture 1" descr="logohuruf"/>
        <xdr:cNvPicPr/>
      </xdr:nvPicPr>
      <xdr:blipFill rotWithShape="1">
        <a:blip r:embed="rId1"/>
        <a:stretch/>
      </xdr:blipFill>
      <xdr:spPr bwMode="auto">
        <a:xfrm>
          <a:off x="2667000" y="161925"/>
          <a:ext cx="87757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showRowColHeaders="1" showZeros="1" view="normal" topLeftCell="A327" zoomScale="145" workbookViewId="0">
      <selection activeCell="F377" activeCellId="0" sqref="F377"/>
    </sheetView>
  </sheetViews>
  <sheetFormatPr defaultRowHeight="14.25"/>
  <cols>
    <col customWidth="1" min="1" max="1" style="2" width="3.42578125"/>
    <col customWidth="1" min="2" max="2" style="1" width="3.7109375"/>
    <col customWidth="1" min="3" max="3" style="1" width="5.5703125"/>
    <col customWidth="1" min="4" max="4" style="1" width="6.140625"/>
    <col customWidth="1" min="5" max="6" style="1" width="4.85546875"/>
    <col customWidth="1" min="7" max="7" style="1" width="32.85546875"/>
    <col customWidth="1" min="8" max="8" style="2" width="6.5703125"/>
    <col customWidth="1" min="9" max="9" style="2" width="9.28515625"/>
    <col customWidth="1" min="10" max="10" style="2" width="9.85546875"/>
    <col customWidth="1" min="11" max="11" style="2" width="10.140625"/>
    <col customWidth="1" min="12" max="12" style="1" width="5.5703125"/>
    <col customWidth="1" min="13" max="13" style="1" width="2.28515625"/>
    <col customWidth="1" min="14" max="14" style="1" width="6.140625"/>
    <col customWidth="1" min="15" max="15" style="1" width="2.28515625"/>
    <col customWidth="1" min="16" max="16" style="1" width="5.140625"/>
    <col min="17" max="16384" style="1" width="9.140625"/>
  </cols>
  <sheetData>
    <row r="1" ht="49.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ht="15.75" customHeight="1">
      <c r="A2" s="6" t="s">
        <v>1</v>
      </c>
      <c r="B2" s="7"/>
      <c r="C2" s="7"/>
      <c r="D2" s="8"/>
      <c r="E2" s="9" t="s">
        <v>2</v>
      </c>
      <c r="F2" s="10"/>
      <c r="G2" s="10"/>
      <c r="H2" s="10"/>
      <c r="I2" s="10"/>
      <c r="J2" s="10"/>
      <c r="K2" s="11"/>
    </row>
    <row r="3" ht="15.75" customHeight="1">
      <c r="A3" s="6" t="s">
        <v>3</v>
      </c>
      <c r="B3" s="7"/>
      <c r="C3" s="7"/>
      <c r="D3" s="8"/>
      <c r="E3" s="9" t="s">
        <v>4</v>
      </c>
      <c r="F3" s="10"/>
      <c r="G3" s="10"/>
      <c r="H3" s="10"/>
      <c r="I3" s="10"/>
      <c r="J3" s="10"/>
      <c r="K3" s="11"/>
      <c r="N3" s="12"/>
      <c r="O3" s="12"/>
    </row>
    <row r="4" ht="15.75" customHeight="1">
      <c r="A4" s="6" t="s">
        <v>5</v>
      </c>
      <c r="B4" s="7"/>
      <c r="C4" s="7"/>
      <c r="D4" s="8"/>
      <c r="E4" s="9" t="s">
        <v>6</v>
      </c>
      <c r="F4" s="10"/>
      <c r="G4" s="10"/>
      <c r="H4" s="10"/>
      <c r="I4" s="10"/>
      <c r="J4" s="10"/>
      <c r="K4" s="11"/>
      <c r="N4" s="12"/>
      <c r="O4" s="12"/>
    </row>
    <row r="5" ht="38.25" customHeight="1">
      <c r="A5" s="13" t="s">
        <v>7</v>
      </c>
      <c r="B5" s="14" t="s">
        <v>8</v>
      </c>
      <c r="C5" s="15"/>
      <c r="D5" s="15"/>
      <c r="E5" s="15"/>
      <c r="F5" s="15"/>
      <c r="G5" s="16"/>
      <c r="H5" s="13" t="s">
        <v>9</v>
      </c>
      <c r="I5" s="17" t="s">
        <v>10</v>
      </c>
      <c r="J5" s="13" t="s">
        <v>11</v>
      </c>
      <c r="K5" s="13" t="s">
        <v>12</v>
      </c>
    </row>
    <row r="6">
      <c r="A6" s="18"/>
      <c r="B6" s="19" t="s">
        <v>13</v>
      </c>
      <c r="C6" s="1"/>
      <c r="D6" s="1"/>
      <c r="E6" s="1"/>
      <c r="F6" s="1"/>
      <c r="G6" s="20"/>
      <c r="H6" s="21"/>
      <c r="I6" s="2"/>
      <c r="J6" s="21"/>
      <c r="K6" s="22"/>
    </row>
    <row r="7">
      <c r="A7" s="18"/>
      <c r="B7" s="23"/>
      <c r="C7" s="1"/>
      <c r="D7" s="1"/>
      <c r="E7" s="1"/>
      <c r="F7" s="1"/>
      <c r="G7" s="20"/>
      <c r="H7" s="21"/>
      <c r="I7" s="2"/>
      <c r="J7" s="21"/>
      <c r="K7" s="22"/>
    </row>
    <row r="8">
      <c r="A8" s="18"/>
      <c r="B8" s="24" t="s">
        <v>14</v>
      </c>
      <c r="C8" s="1"/>
      <c r="D8" s="1"/>
      <c r="E8" s="1"/>
      <c r="F8" s="1"/>
      <c r="G8" s="20"/>
      <c r="H8" s="21"/>
      <c r="I8" s="2"/>
      <c r="J8" s="21"/>
      <c r="K8" s="22"/>
    </row>
    <row r="9">
      <c r="A9" s="18"/>
      <c r="B9" s="23"/>
      <c r="C9" s="1"/>
      <c r="D9" s="1"/>
      <c r="E9" s="1"/>
      <c r="F9" s="1"/>
      <c r="G9" s="20"/>
      <c r="H9" s="21"/>
      <c r="I9" s="2"/>
      <c r="J9" s="21"/>
      <c r="K9" s="22"/>
    </row>
    <row r="10">
      <c r="A10" s="18" t="s">
        <v>15</v>
      </c>
      <c r="B10" s="23" t="s">
        <v>16</v>
      </c>
      <c r="C10" s="1"/>
      <c r="D10" s="1"/>
      <c r="E10" s="1"/>
      <c r="F10" s="1"/>
      <c r="G10" s="20"/>
      <c r="H10" s="21"/>
      <c r="I10" s="2"/>
      <c r="J10" s="21"/>
      <c r="K10" s="22"/>
    </row>
    <row r="11">
      <c r="A11" s="18"/>
      <c r="B11" s="23" t="s">
        <v>17</v>
      </c>
      <c r="C11" s="1"/>
      <c r="D11" s="1"/>
      <c r="E11" s="1"/>
      <c r="F11" s="1"/>
      <c r="G11" s="20"/>
      <c r="H11" s="21"/>
      <c r="I11" s="2"/>
      <c r="J11" s="21"/>
      <c r="K11" s="22"/>
    </row>
    <row r="12">
      <c r="A12" s="18"/>
      <c r="B12" s="23" t="s">
        <v>18</v>
      </c>
      <c r="C12" s="1"/>
      <c r="D12" s="1"/>
      <c r="E12" s="1"/>
      <c r="F12" s="1"/>
      <c r="G12" s="20"/>
      <c r="H12" s="21"/>
      <c r="I12" s="2"/>
      <c r="J12" s="21"/>
      <c r="K12" s="22"/>
    </row>
    <row r="13">
      <c r="A13" s="18"/>
      <c r="B13" s="23" t="s">
        <v>19</v>
      </c>
      <c r="C13" s="1"/>
      <c r="D13" s="1"/>
      <c r="E13" s="1"/>
      <c r="F13" s="1"/>
      <c r="G13" s="20"/>
      <c r="H13" s="21"/>
      <c r="I13" s="2"/>
      <c r="J13" s="21"/>
      <c r="K13" s="22"/>
    </row>
    <row r="14">
      <c r="A14" s="18"/>
      <c r="B14" s="23" t="s">
        <v>20</v>
      </c>
      <c r="C14" s="1"/>
      <c r="D14" s="1"/>
      <c r="E14" s="1"/>
      <c r="F14" s="1"/>
      <c r="G14" s="20"/>
      <c r="H14" s="21"/>
      <c r="I14" s="2"/>
      <c r="J14" s="21"/>
      <c r="K14" s="22"/>
    </row>
    <row r="15">
      <c r="A15" s="18"/>
      <c r="B15" s="23" t="s">
        <v>21</v>
      </c>
      <c r="C15" s="1"/>
      <c r="D15" s="1"/>
      <c r="E15" s="1"/>
      <c r="F15" s="1"/>
      <c r="G15" s="20"/>
      <c r="H15" s="21"/>
      <c r="I15" s="2"/>
      <c r="J15" s="21"/>
      <c r="K15" s="22"/>
    </row>
    <row r="16">
      <c r="A16" s="18"/>
      <c r="B16" s="23" t="s">
        <v>22</v>
      </c>
      <c r="C16" s="1"/>
      <c r="D16" s="1"/>
      <c r="E16" s="1"/>
      <c r="F16" s="1"/>
      <c r="G16" s="20"/>
      <c r="H16" s="21" t="s">
        <v>23</v>
      </c>
      <c r="I16" s="2"/>
      <c r="J16" s="25">
        <v>310</v>
      </c>
      <c r="K16" s="26">
        <f>J16</f>
        <v>310</v>
      </c>
    </row>
    <row r="17">
      <c r="A17" s="18"/>
      <c r="B17" s="23" t="s">
        <v>24</v>
      </c>
      <c r="C17" s="1"/>
      <c r="D17" s="1"/>
      <c r="E17" s="1"/>
      <c r="F17" s="1"/>
      <c r="G17" s="20"/>
      <c r="H17" s="21"/>
      <c r="I17" s="2"/>
      <c r="J17" s="25"/>
      <c r="K17" s="26"/>
    </row>
    <row r="18">
      <c r="A18" s="18"/>
      <c r="B18" s="23" t="s">
        <v>25</v>
      </c>
      <c r="C18" s="1"/>
      <c r="D18" s="1"/>
      <c r="E18" s="1"/>
      <c r="F18" s="1"/>
      <c r="G18" s="20"/>
      <c r="H18" s="21"/>
      <c r="I18" s="2"/>
      <c r="J18" s="25"/>
      <c r="K18" s="26"/>
    </row>
    <row r="19">
      <c r="A19" s="18"/>
      <c r="B19" s="23" t="s">
        <v>26</v>
      </c>
      <c r="C19" s="1"/>
      <c r="D19" s="1"/>
      <c r="E19" s="1"/>
      <c r="F19" s="1"/>
      <c r="G19" s="20"/>
      <c r="H19" s="21"/>
      <c r="I19" s="2"/>
      <c r="J19" s="21"/>
      <c r="K19" s="22"/>
    </row>
    <row r="20">
      <c r="A20" s="18"/>
      <c r="B20" s="23" t="s">
        <v>27</v>
      </c>
      <c r="C20" s="1"/>
      <c r="D20" s="1"/>
      <c r="E20" s="1"/>
      <c r="F20" s="1"/>
      <c r="G20" s="20"/>
      <c r="H20" s="21"/>
      <c r="I20" s="2"/>
      <c r="J20" s="25"/>
      <c r="K20" s="26"/>
    </row>
    <row r="21">
      <c r="A21" s="18"/>
      <c r="B21" s="23" t="s">
        <v>28</v>
      </c>
      <c r="C21" s="1"/>
      <c r="D21" s="1"/>
      <c r="E21" s="1"/>
      <c r="F21" s="1"/>
      <c r="G21" s="20"/>
      <c r="H21" s="21"/>
      <c r="I21" s="2"/>
      <c r="J21" s="21"/>
      <c r="K21" s="22"/>
    </row>
    <row r="22">
      <c r="A22" s="18"/>
      <c r="B22" s="23" t="s">
        <v>29</v>
      </c>
      <c r="C22" s="1"/>
      <c r="D22" s="1"/>
      <c r="E22" s="1"/>
      <c r="F22" s="1"/>
      <c r="G22" s="20"/>
      <c r="H22" s="21"/>
      <c r="I22" s="2"/>
      <c r="J22" s="21"/>
      <c r="K22" s="22"/>
    </row>
    <row r="23">
      <c r="A23" s="18"/>
      <c r="B23" s="23" t="s">
        <v>30</v>
      </c>
      <c r="C23" s="1"/>
      <c r="D23" s="1"/>
      <c r="E23" s="1"/>
      <c r="F23" s="1"/>
      <c r="G23" s="20"/>
      <c r="H23" s="21"/>
      <c r="I23" s="2"/>
      <c r="J23" s="21"/>
      <c r="K23" s="22"/>
    </row>
    <row r="24">
      <c r="A24" s="18"/>
      <c r="B24" s="23"/>
      <c r="C24" s="1"/>
      <c r="D24" s="1"/>
      <c r="E24" s="1"/>
      <c r="F24" s="1"/>
      <c r="G24" s="20"/>
      <c r="H24" s="21"/>
      <c r="I24" s="2"/>
      <c r="J24" s="21"/>
      <c r="K24" s="22"/>
    </row>
    <row r="25">
      <c r="A25" s="18" t="s">
        <v>31</v>
      </c>
      <c r="B25" s="19" t="s">
        <v>32</v>
      </c>
      <c r="C25" s="1"/>
      <c r="D25" s="1"/>
      <c r="E25" s="1"/>
      <c r="F25" s="1"/>
      <c r="G25" s="20"/>
      <c r="H25" s="21"/>
      <c r="I25" s="2"/>
      <c r="J25" s="21"/>
      <c r="K25" s="22"/>
    </row>
    <row r="26">
      <c r="A26" s="18"/>
      <c r="B26" s="23"/>
      <c r="C26" s="1"/>
      <c r="D26" s="1"/>
      <c r="E26" s="1"/>
      <c r="F26" s="1"/>
      <c r="G26" s="20"/>
      <c r="H26" s="21"/>
      <c r="I26" s="2"/>
      <c r="J26" s="21"/>
      <c r="K26" s="22"/>
    </row>
    <row r="27">
      <c r="A27" s="18"/>
      <c r="B27" s="23" t="s">
        <v>33</v>
      </c>
      <c r="C27" s="1"/>
      <c r="D27" s="1"/>
      <c r="E27" s="1"/>
      <c r="F27" s="1"/>
      <c r="G27" s="20"/>
      <c r="H27" s="21"/>
      <c r="I27" s="2"/>
      <c r="J27" s="21"/>
      <c r="K27" s="22"/>
    </row>
    <row r="28">
      <c r="A28" s="18"/>
      <c r="B28" s="23" t="s">
        <v>34</v>
      </c>
      <c r="C28" s="1"/>
      <c r="D28" s="1"/>
      <c r="E28" s="1"/>
      <c r="F28" s="1"/>
      <c r="G28" s="20"/>
      <c r="H28" s="21"/>
      <c r="I28" s="2"/>
      <c r="J28" s="21"/>
      <c r="K28" s="22"/>
    </row>
    <row r="29">
      <c r="A29" s="18"/>
      <c r="B29" s="23" t="s">
        <v>35</v>
      </c>
      <c r="C29" s="1"/>
      <c r="D29" s="1"/>
      <c r="E29" s="1"/>
      <c r="F29" s="1"/>
      <c r="G29" s="20"/>
      <c r="H29" s="21"/>
      <c r="I29" s="2"/>
      <c r="J29" s="21"/>
      <c r="K29" s="22"/>
    </row>
    <row r="30">
      <c r="A30" s="18"/>
      <c r="B30" s="23" t="s">
        <v>36</v>
      </c>
      <c r="C30" s="1"/>
      <c r="D30" s="1"/>
      <c r="E30" s="1"/>
      <c r="F30" s="1"/>
      <c r="G30" s="20"/>
      <c r="H30" s="21"/>
      <c r="I30" s="2"/>
      <c r="J30" s="21"/>
      <c r="K30" s="22"/>
    </row>
    <row r="31">
      <c r="A31" s="18"/>
      <c r="B31" s="23" t="s">
        <v>37</v>
      </c>
      <c r="C31" s="1"/>
      <c r="D31" s="1"/>
      <c r="E31" s="1"/>
      <c r="F31" s="1"/>
      <c r="G31" s="20"/>
      <c r="H31" s="21"/>
      <c r="I31" s="2"/>
      <c r="J31" s="21"/>
      <c r="K31" s="22"/>
    </row>
    <row r="32">
      <c r="A32" s="18"/>
      <c r="B32" s="23" t="s">
        <v>38</v>
      </c>
      <c r="C32" s="1"/>
      <c r="D32" s="1"/>
      <c r="E32" s="1"/>
      <c r="F32" s="1"/>
      <c r="G32" s="20"/>
      <c r="H32" s="21" t="s">
        <v>23</v>
      </c>
      <c r="I32" s="2"/>
      <c r="J32" s="25">
        <v>1275</v>
      </c>
      <c r="K32" s="26">
        <f>J32</f>
        <v>1275</v>
      </c>
    </row>
    <row r="33">
      <c r="A33" s="18"/>
      <c r="B33" s="23"/>
      <c r="C33" s="1"/>
      <c r="D33" s="1"/>
      <c r="E33" s="1"/>
      <c r="F33" s="1"/>
      <c r="G33" s="20"/>
      <c r="H33" s="21"/>
      <c r="I33" s="2"/>
      <c r="J33" s="21"/>
      <c r="K33" s="22"/>
    </row>
    <row r="34">
      <c r="A34" s="18" t="s">
        <v>39</v>
      </c>
      <c r="B34" s="23" t="s">
        <v>40</v>
      </c>
      <c r="C34" s="1"/>
      <c r="D34" s="1"/>
      <c r="E34" s="1"/>
      <c r="F34" s="1"/>
      <c r="G34" s="20"/>
      <c r="H34" s="21"/>
      <c r="I34" s="2"/>
      <c r="J34" s="21"/>
      <c r="K34" s="22"/>
    </row>
    <row r="35">
      <c r="A35" s="18"/>
      <c r="B35" s="23" t="s">
        <v>41</v>
      </c>
      <c r="C35" s="1"/>
      <c r="D35" s="1"/>
      <c r="E35" s="1"/>
      <c r="F35" s="1"/>
      <c r="G35" s="20"/>
      <c r="H35" s="21" t="s">
        <v>23</v>
      </c>
      <c r="I35" s="2"/>
      <c r="J35" s="25">
        <v>255</v>
      </c>
      <c r="K35" s="26">
        <f>J35</f>
        <v>255</v>
      </c>
    </row>
    <row r="36">
      <c r="A36" s="18"/>
      <c r="B36" s="23"/>
      <c r="C36" s="1"/>
      <c r="D36" s="1"/>
      <c r="E36" s="1"/>
      <c r="F36" s="1"/>
      <c r="G36" s="20"/>
      <c r="H36" s="21"/>
      <c r="I36" s="2"/>
      <c r="J36" s="21"/>
      <c r="K36" s="22"/>
    </row>
    <row r="37">
      <c r="A37" s="18"/>
      <c r="B37" s="23"/>
      <c r="C37" s="1"/>
      <c r="D37" s="1"/>
      <c r="E37" s="1"/>
      <c r="F37" s="1"/>
      <c r="G37" s="20"/>
      <c r="H37" s="21"/>
      <c r="I37" s="2"/>
      <c r="J37" s="21"/>
      <c r="K37" s="22"/>
    </row>
    <row r="38">
      <c r="A38" s="18"/>
      <c r="B38" s="23"/>
      <c r="C38" s="1"/>
      <c r="D38" s="1"/>
      <c r="E38" s="1"/>
      <c r="F38" s="1"/>
      <c r="G38" s="20"/>
      <c r="H38" s="21"/>
      <c r="I38" s="2"/>
      <c r="J38" s="21"/>
      <c r="K38" s="22"/>
    </row>
    <row r="39">
      <c r="A39" s="18"/>
      <c r="B39" s="23"/>
      <c r="C39" s="1"/>
      <c r="D39" s="1"/>
      <c r="E39" s="1"/>
      <c r="F39" s="1"/>
      <c r="G39" s="20"/>
      <c r="H39" s="21"/>
      <c r="I39" s="2"/>
      <c r="J39" s="21"/>
      <c r="K39" s="22"/>
    </row>
    <row r="40">
      <c r="A40" s="18"/>
      <c r="B40" s="23"/>
      <c r="C40" s="1"/>
      <c r="D40" s="1"/>
      <c r="E40" s="1"/>
      <c r="F40" s="1"/>
      <c r="G40" s="20"/>
      <c r="H40" s="21"/>
      <c r="I40" s="2"/>
      <c r="J40" s="21"/>
      <c r="K40" s="22"/>
    </row>
    <row r="41">
      <c r="A41" s="18"/>
      <c r="B41" s="23"/>
      <c r="C41" s="1"/>
      <c r="D41" s="1"/>
      <c r="E41" s="1"/>
      <c r="F41" s="1"/>
      <c r="G41" s="20"/>
      <c r="H41" s="21"/>
      <c r="I41" s="2"/>
      <c r="J41" s="21"/>
      <c r="K41" s="22"/>
    </row>
    <row r="42">
      <c r="A42" s="18"/>
      <c r="B42" s="23"/>
      <c r="C42" s="1"/>
      <c r="D42" s="1"/>
      <c r="E42" s="1"/>
      <c r="F42" s="1"/>
      <c r="G42" s="20"/>
      <c r="H42" s="21"/>
      <c r="I42" s="2"/>
      <c r="J42" s="21"/>
      <c r="K42" s="22"/>
    </row>
    <row r="43">
      <c r="A43" s="18"/>
      <c r="B43" s="23"/>
      <c r="C43" s="1"/>
      <c r="D43" s="1"/>
      <c r="E43" s="1"/>
      <c r="F43" s="1"/>
      <c r="G43" s="20"/>
      <c r="H43" s="21"/>
      <c r="I43" s="2"/>
      <c r="J43" s="21"/>
      <c r="K43" s="22"/>
    </row>
    <row r="44">
      <c r="A44" s="18"/>
      <c r="B44" s="23"/>
      <c r="C44" s="1"/>
      <c r="D44" s="1"/>
      <c r="E44" s="1"/>
      <c r="F44" s="1"/>
      <c r="G44" s="20"/>
      <c r="H44" s="21"/>
      <c r="I44" s="2"/>
      <c r="J44" s="21"/>
      <c r="K44" s="22"/>
    </row>
    <row r="45">
      <c r="A45" s="18"/>
      <c r="B45" s="23"/>
      <c r="C45" s="1"/>
      <c r="D45" s="1"/>
      <c r="E45" s="1"/>
      <c r="F45" s="1"/>
      <c r="G45" s="20"/>
      <c r="H45" s="21"/>
      <c r="I45" s="2"/>
      <c r="J45" s="21"/>
      <c r="K45" s="22"/>
    </row>
    <row r="46">
      <c r="A46" s="18"/>
      <c r="B46" s="23"/>
      <c r="C46" s="1"/>
      <c r="D46" s="1"/>
      <c r="E46" s="1"/>
      <c r="F46" s="1"/>
      <c r="G46" s="20"/>
      <c r="H46" s="21"/>
      <c r="I46" s="2"/>
      <c r="J46" s="21"/>
      <c r="K46" s="22"/>
    </row>
    <row r="47">
      <c r="A47" s="18"/>
      <c r="B47" s="23"/>
      <c r="C47" s="1"/>
      <c r="D47" s="1"/>
      <c r="E47" s="1"/>
      <c r="F47" s="1"/>
      <c r="G47" s="20"/>
      <c r="H47" s="21"/>
      <c r="I47" s="2"/>
      <c r="J47" s="21"/>
      <c r="K47" s="22"/>
    </row>
    <row r="48">
      <c r="A48" s="18"/>
      <c r="B48" s="23"/>
      <c r="C48" s="1"/>
      <c r="D48" s="1"/>
      <c r="E48" s="1"/>
      <c r="F48" s="1"/>
      <c r="G48" s="20"/>
      <c r="H48" s="21"/>
      <c r="I48" s="2"/>
      <c r="J48" s="21"/>
      <c r="K48" s="22"/>
    </row>
    <row r="49">
      <c r="A49" s="18"/>
      <c r="B49" s="23"/>
      <c r="C49" s="1"/>
      <c r="D49" s="1"/>
      <c r="E49" s="1"/>
      <c r="F49" s="1"/>
      <c r="G49" s="20"/>
      <c r="H49" s="21"/>
      <c r="I49" s="2"/>
      <c r="J49" s="21"/>
      <c r="K49" s="22"/>
    </row>
    <row r="50">
      <c r="A50" s="18"/>
      <c r="B50" s="23"/>
      <c r="C50" s="1"/>
      <c r="D50" s="1"/>
      <c r="E50" s="1"/>
      <c r="F50" s="1"/>
      <c r="G50" s="20"/>
      <c r="H50" s="21"/>
      <c r="I50" s="2"/>
      <c r="J50" s="21"/>
      <c r="K50" s="22"/>
    </row>
    <row r="51">
      <c r="A51" s="18"/>
      <c r="B51" s="23"/>
      <c r="C51" s="1"/>
      <c r="D51" s="1"/>
      <c r="E51" s="1"/>
      <c r="F51" s="1"/>
      <c r="G51" s="20"/>
      <c r="H51" s="21"/>
      <c r="I51" s="2"/>
      <c r="J51" s="21"/>
      <c r="K51" s="22"/>
    </row>
    <row r="52">
      <c r="A52" s="18"/>
      <c r="B52" s="23"/>
      <c r="C52" s="1"/>
      <c r="D52" s="1"/>
      <c r="E52" s="1"/>
      <c r="F52" s="1"/>
      <c r="G52" s="20"/>
      <c r="H52" s="21"/>
      <c r="I52" s="2"/>
      <c r="J52" s="21"/>
      <c r="K52" s="22"/>
    </row>
    <row r="53">
      <c r="A53" s="18"/>
      <c r="B53" s="23"/>
      <c r="C53" s="1"/>
      <c r="D53" s="1"/>
      <c r="E53" s="1"/>
      <c r="F53" s="1"/>
      <c r="G53" s="20"/>
      <c r="H53" s="21"/>
      <c r="I53" s="2"/>
      <c r="J53" s="21"/>
      <c r="K53" s="22"/>
    </row>
    <row r="54">
      <c r="A54" s="18"/>
      <c r="B54" s="23"/>
      <c r="C54" s="1"/>
      <c r="D54" s="1"/>
      <c r="E54" s="1"/>
      <c r="F54" s="1"/>
      <c r="G54" s="20"/>
      <c r="H54" s="21"/>
      <c r="I54" s="2"/>
      <c r="J54" s="21"/>
      <c r="K54" s="22"/>
    </row>
    <row r="55">
      <c r="A55" s="18"/>
      <c r="B55" s="23"/>
      <c r="C55" s="1"/>
      <c r="D55" s="1"/>
      <c r="E55" s="1"/>
      <c r="F55" s="1"/>
      <c r="G55" s="20"/>
      <c r="H55" s="21"/>
      <c r="I55" s="2"/>
      <c r="J55" s="21"/>
      <c r="K55" s="22"/>
    </row>
    <row r="56">
      <c r="A56" s="18"/>
      <c r="B56" s="23"/>
      <c r="C56" s="1"/>
      <c r="D56" s="1"/>
      <c r="E56" s="1"/>
      <c r="F56" s="1"/>
      <c r="G56" s="20"/>
      <c r="H56" s="21"/>
      <c r="I56" s="2"/>
      <c r="J56" s="21"/>
      <c r="K56" s="22"/>
    </row>
    <row r="57">
      <c r="A57" s="18"/>
      <c r="B57" s="23"/>
      <c r="C57" s="1"/>
      <c r="D57" s="1"/>
      <c r="E57" s="1"/>
      <c r="F57" s="1"/>
      <c r="G57" s="20"/>
      <c r="H57" s="21"/>
      <c r="I57" s="2"/>
      <c r="J57" s="21"/>
      <c r="K57" s="22"/>
    </row>
    <row r="58">
      <c r="A58" s="18"/>
      <c r="B58" s="23"/>
      <c r="C58" s="1"/>
      <c r="D58" s="1"/>
      <c r="E58" s="1"/>
      <c r="F58" s="1"/>
      <c r="G58" s="20"/>
      <c r="H58" s="21"/>
      <c r="I58" s="2"/>
      <c r="J58" s="21"/>
      <c r="K58" s="22"/>
    </row>
    <row r="59">
      <c r="A59" s="18"/>
      <c r="B59" s="23"/>
      <c r="C59" s="1"/>
      <c r="D59" s="1"/>
      <c r="E59" s="1"/>
      <c r="F59" s="1"/>
      <c r="G59" s="20"/>
      <c r="H59" s="21"/>
      <c r="I59" s="2"/>
      <c r="J59" s="21"/>
      <c r="K59" s="22"/>
    </row>
    <row r="60">
      <c r="A60" s="18"/>
      <c r="B60" s="23"/>
      <c r="C60" s="1"/>
      <c r="D60" s="1"/>
      <c r="E60" s="1"/>
      <c r="F60" s="1"/>
      <c r="G60" s="20"/>
      <c r="H60" s="21"/>
      <c r="I60" s="2"/>
      <c r="J60" s="21"/>
      <c r="K60" s="22"/>
    </row>
    <row r="61">
      <c r="A61" s="18"/>
      <c r="B61" s="23"/>
      <c r="C61" s="1"/>
      <c r="D61" s="1"/>
      <c r="E61" s="1"/>
      <c r="F61" s="1"/>
      <c r="G61" s="20"/>
      <c r="H61" s="21"/>
      <c r="I61" s="2"/>
      <c r="J61" s="21"/>
      <c r="K61" s="22"/>
    </row>
    <row r="62">
      <c r="A62" s="18"/>
      <c r="B62" s="23"/>
      <c r="C62" s="1"/>
      <c r="D62" s="1"/>
      <c r="E62" s="1"/>
      <c r="F62" s="1"/>
      <c r="G62" s="20"/>
      <c r="H62" s="21"/>
      <c r="I62" s="2"/>
      <c r="J62" s="21"/>
      <c r="K62" s="22"/>
    </row>
    <row r="63">
      <c r="A63" s="18"/>
      <c r="B63" s="23"/>
      <c r="C63" s="1"/>
      <c r="D63" s="1"/>
      <c r="E63" s="1"/>
      <c r="F63" s="1"/>
      <c r="G63" s="20"/>
      <c r="H63" s="21"/>
      <c r="I63" s="2"/>
      <c r="J63" s="21"/>
      <c r="K63" s="22"/>
    </row>
    <row r="64">
      <c r="A64" s="18"/>
      <c r="B64" s="23"/>
      <c r="C64" s="1"/>
      <c r="D64" s="1"/>
      <c r="E64" s="1"/>
      <c r="F64" s="1"/>
      <c r="G64" s="20"/>
      <c r="H64" s="21"/>
      <c r="I64" s="2"/>
      <c r="J64" s="21"/>
      <c r="K64" s="22"/>
    </row>
    <row r="65" ht="12">
      <c r="A65" s="18"/>
      <c r="B65" s="23"/>
      <c r="C65" s="1"/>
      <c r="D65" s="1"/>
      <c r="E65" s="1"/>
      <c r="F65" s="1"/>
      <c r="G65" s="20"/>
      <c r="H65" s="21"/>
      <c r="I65" s="2"/>
      <c r="J65" s="21"/>
      <c r="K65" s="22"/>
    </row>
    <row r="66" ht="15.75" customHeight="1">
      <c r="A66" s="6" t="s">
        <v>42</v>
      </c>
      <c r="B66" s="7"/>
      <c r="C66" s="7"/>
      <c r="D66" s="7"/>
      <c r="E66" s="7"/>
      <c r="F66" s="7"/>
      <c r="G66" s="7"/>
      <c r="H66" s="7"/>
      <c r="I66" s="7"/>
      <c r="J66" s="8"/>
      <c r="K66" s="27">
        <f>SUM(K6:K65)</f>
        <v>1840</v>
      </c>
    </row>
    <row r="67">
      <c r="A67" s="2"/>
      <c r="B67" s="1"/>
      <c r="C67" s="1"/>
      <c r="D67" s="1"/>
      <c r="E67" s="1"/>
      <c r="F67" s="1"/>
      <c r="G67" s="1"/>
      <c r="H67" s="2"/>
      <c r="I67" s="2"/>
      <c r="J67" s="2"/>
      <c r="K67" s="2"/>
    </row>
    <row r="68">
      <c r="A68" s="2"/>
      <c r="B68" s="1"/>
      <c r="C68" s="1"/>
      <c r="D68" s="1"/>
      <c r="E68" s="1"/>
      <c r="F68" s="1"/>
      <c r="G68" s="1"/>
      <c r="H68" s="2"/>
      <c r="I68" s="2"/>
      <c r="J68" s="2"/>
      <c r="K68" s="2"/>
    </row>
    <row r="69" ht="12">
      <c r="A69" s="2"/>
      <c r="B69" s="1"/>
      <c r="C69" s="1"/>
      <c r="D69" s="1"/>
      <c r="E69" s="1"/>
      <c r="F69" s="1"/>
      <c r="G69" s="1"/>
      <c r="H69" s="2"/>
      <c r="I69" s="2"/>
      <c r="J69" s="2"/>
      <c r="K69" s="2"/>
    </row>
    <row r="70" ht="34.5">
      <c r="A70" s="13" t="s">
        <v>7</v>
      </c>
      <c r="B70" s="14" t="s">
        <v>8</v>
      </c>
      <c r="C70" s="15"/>
      <c r="D70" s="15"/>
      <c r="E70" s="15"/>
      <c r="F70" s="15"/>
      <c r="G70" s="16"/>
      <c r="H70" s="13" t="s">
        <v>9</v>
      </c>
      <c r="I70" s="17" t="s">
        <v>10</v>
      </c>
      <c r="J70" s="13" t="s">
        <v>11</v>
      </c>
      <c r="K70" s="13" t="s">
        <v>12</v>
      </c>
    </row>
    <row r="71" ht="12">
      <c r="A71" s="18"/>
      <c r="B71" s="19" t="s">
        <v>43</v>
      </c>
      <c r="C71" s="1"/>
      <c r="D71" s="1"/>
      <c r="E71" s="1"/>
      <c r="F71" s="1"/>
      <c r="G71" s="20"/>
      <c r="H71" s="21"/>
      <c r="I71" s="2"/>
      <c r="J71" s="21"/>
      <c r="K71" s="22"/>
    </row>
    <row r="72" ht="15.75" customHeight="1">
      <c r="A72" s="18"/>
      <c r="B72" s="24" t="str">
        <f>E3</f>
        <v xml:space="preserve">JALAN SG 6/14 </v>
      </c>
      <c r="C72" s="1"/>
      <c r="D72" s="1"/>
      <c r="E72" s="1"/>
      <c r="F72" s="1"/>
      <c r="G72" s="20"/>
      <c r="H72" s="21"/>
      <c r="I72" s="2"/>
      <c r="J72" s="21"/>
      <c r="K72" s="22"/>
      <c r="M72" s="6" t="s">
        <v>44</v>
      </c>
      <c r="N72" s="8"/>
      <c r="O72" s="6" t="s">
        <v>45</v>
      </c>
      <c r="P72" s="8"/>
      <c r="Q72" s="28" t="s">
        <v>46</v>
      </c>
    </row>
    <row r="73" ht="12">
      <c r="A73" s="18"/>
      <c r="B73" s="24"/>
      <c r="C73" s="1"/>
      <c r="D73" s="1"/>
      <c r="E73" s="1"/>
      <c r="F73" s="1"/>
      <c r="G73" s="20"/>
      <c r="H73" s="21"/>
      <c r="I73" s="2"/>
      <c r="J73" s="21"/>
      <c r="K73" s="22"/>
      <c r="M73" s="6">
        <v>25</v>
      </c>
      <c r="N73" s="8"/>
      <c r="O73" s="6">
        <v>0.5</v>
      </c>
      <c r="P73" s="8"/>
      <c r="Q73" s="28">
        <v>0.59999999999999998</v>
      </c>
    </row>
    <row r="74">
      <c r="A74" s="18" t="s">
        <v>15</v>
      </c>
      <c r="B74" s="19" t="s">
        <v>47</v>
      </c>
      <c r="C74" s="1"/>
      <c r="D74" s="1"/>
      <c r="E74" s="1"/>
      <c r="F74" s="1"/>
      <c r="G74" s="20"/>
      <c r="H74" s="21"/>
      <c r="I74" s="2"/>
      <c r="J74" s="21"/>
      <c r="K74" s="22"/>
    </row>
    <row r="75">
      <c r="A75" s="18"/>
      <c r="B75" s="23" t="s">
        <v>48</v>
      </c>
      <c r="C75" s="1"/>
      <c r="D75" s="1"/>
      <c r="E75" s="1"/>
      <c r="F75" s="1"/>
      <c r="G75" s="20"/>
      <c r="H75" s="21"/>
      <c r="I75" s="2"/>
      <c r="J75" s="21"/>
      <c r="K75" s="22"/>
    </row>
    <row r="76">
      <c r="A76" s="18"/>
      <c r="B76" s="23" t="s">
        <v>49</v>
      </c>
      <c r="C76" s="1"/>
      <c r="D76" s="1"/>
      <c r="E76" s="1"/>
      <c r="F76" s="1"/>
      <c r="G76" s="20"/>
      <c r="H76" s="21"/>
      <c r="I76" s="2"/>
      <c r="J76" s="21"/>
      <c r="K76" s="22"/>
    </row>
    <row r="77">
      <c r="A77" s="18"/>
      <c r="B77" s="23" t="s">
        <v>50</v>
      </c>
      <c r="C77" s="1"/>
      <c r="D77" s="1"/>
      <c r="E77" s="1"/>
      <c r="F77" s="1"/>
      <c r="G77" s="20"/>
      <c r="H77" s="21"/>
      <c r="I77" s="2"/>
      <c r="J77" s="21"/>
      <c r="K77" s="22"/>
    </row>
    <row r="78">
      <c r="A78" s="18"/>
      <c r="B78" s="29">
        <f>M73</f>
        <v>25</v>
      </c>
      <c r="C78" s="2" t="s">
        <v>51</v>
      </c>
      <c r="D78" s="12">
        <f>O73+0.1</f>
        <v>0.59999999999999998</v>
      </c>
      <c r="E78" s="2" t="s">
        <v>52</v>
      </c>
      <c r="F78" s="2">
        <f>Q73+0.1</f>
        <v>0.69999999999999996</v>
      </c>
      <c r="G78" s="30" t="s">
        <v>53</v>
      </c>
      <c r="H78" s="21" t="s">
        <v>54</v>
      </c>
      <c r="I78" s="2">
        <f>B78*D78*F78</f>
        <v>10.5</v>
      </c>
      <c r="J78" s="25">
        <v>53.399999999999999</v>
      </c>
      <c r="K78" s="26">
        <f>I78*J78</f>
        <v>560.69999999999993</v>
      </c>
      <c r="L78" s="2"/>
      <c r="M78" s="2"/>
      <c r="N78" s="2"/>
      <c r="O78" s="2"/>
      <c r="P78" s="31"/>
      <c r="Q78" s="2"/>
    </row>
    <row r="79">
      <c r="A79" s="18"/>
      <c r="B79" s="23"/>
      <c r="C79" s="1"/>
      <c r="D79" s="1"/>
      <c r="E79" s="1"/>
      <c r="F79" s="1"/>
      <c r="G79" s="20"/>
      <c r="H79" s="21"/>
      <c r="I79" s="2"/>
      <c r="J79" s="21"/>
      <c r="K79" s="22"/>
    </row>
    <row r="80">
      <c r="A80" s="18" t="s">
        <v>31</v>
      </c>
      <c r="B80" s="19" t="s">
        <v>55</v>
      </c>
      <c r="C80" s="1"/>
      <c r="D80" s="1"/>
      <c r="E80" s="1"/>
      <c r="F80" s="1"/>
      <c r="G80" s="20"/>
      <c r="H80" s="21"/>
      <c r="I80" s="2"/>
      <c r="J80" s="21"/>
      <c r="K80" s="22"/>
    </row>
    <row r="81">
      <c r="A81" s="18"/>
      <c r="B81" s="23" t="s">
        <v>56</v>
      </c>
      <c r="C81" s="1"/>
      <c r="D81" s="1"/>
      <c r="E81" s="1"/>
      <c r="F81" s="1"/>
      <c r="G81" s="20"/>
      <c r="H81" s="21"/>
      <c r="I81" s="2"/>
      <c r="J81" s="21"/>
      <c r="K81" s="22"/>
    </row>
    <row r="82">
      <c r="A82" s="18"/>
      <c r="B82" s="23" t="s">
        <v>57</v>
      </c>
      <c r="C82" s="1"/>
      <c r="D82" s="1"/>
      <c r="E82" s="1"/>
      <c r="F82" s="1"/>
      <c r="G82" s="20"/>
      <c r="H82" s="21"/>
      <c r="I82" s="2"/>
      <c r="J82" s="21"/>
      <c r="K82" s="22"/>
    </row>
    <row r="83">
      <c r="A83" s="18"/>
      <c r="B83" s="23" t="s">
        <v>58</v>
      </c>
      <c r="C83" s="1"/>
      <c r="D83" s="1"/>
      <c r="E83" s="1"/>
      <c r="F83" s="1"/>
      <c r="G83" s="20"/>
      <c r="H83" s="21"/>
      <c r="I83" s="2"/>
      <c r="J83" s="25"/>
      <c r="K83" s="26"/>
    </row>
    <row r="84">
      <c r="A84" s="18"/>
      <c r="B84" s="29">
        <f>M73</f>
        <v>25</v>
      </c>
      <c r="C84" s="2" t="s">
        <v>51</v>
      </c>
      <c r="D84" s="12">
        <f>O73</f>
        <v>0.5</v>
      </c>
      <c r="E84" s="2" t="s">
        <v>59</v>
      </c>
      <c r="F84" s="1"/>
      <c r="G84" s="20"/>
      <c r="H84" s="21" t="s">
        <v>60</v>
      </c>
      <c r="I84" s="2">
        <f>B84*D84</f>
        <v>12.5</v>
      </c>
      <c r="J84" s="25">
        <v>27.350000000000001</v>
      </c>
      <c r="K84" s="26">
        <f>I84*J84</f>
        <v>341.875</v>
      </c>
      <c r="L84" s="2"/>
      <c r="M84" s="2"/>
      <c r="N84" s="2"/>
      <c r="O84" s="2"/>
      <c r="P84" s="31"/>
      <c r="Q84" s="2"/>
    </row>
    <row r="85">
      <c r="A85" s="18"/>
      <c r="B85" s="29"/>
      <c r="C85" s="2"/>
      <c r="D85" s="12"/>
      <c r="E85" s="2"/>
      <c r="F85" s="1"/>
      <c r="G85" s="20"/>
      <c r="H85" s="21"/>
      <c r="I85" s="2"/>
      <c r="J85" s="25"/>
      <c r="K85" s="26"/>
      <c r="L85" s="2"/>
      <c r="M85" s="2"/>
      <c r="N85" s="2"/>
      <c r="O85" s="2"/>
      <c r="P85" s="31"/>
      <c r="Q85" s="2"/>
    </row>
    <row r="86">
      <c r="A86" s="18" t="s">
        <v>39</v>
      </c>
      <c r="B86" s="19" t="s">
        <v>61</v>
      </c>
      <c r="C86" s="1"/>
      <c r="D86" s="1"/>
      <c r="E86" s="1"/>
      <c r="F86" s="1"/>
      <c r="G86" s="20"/>
      <c r="H86" s="21"/>
      <c r="I86" s="2"/>
      <c r="J86" s="21"/>
      <c r="K86" s="22"/>
    </row>
    <row r="87">
      <c r="A87" s="18"/>
      <c r="B87" s="23" t="s">
        <v>62</v>
      </c>
      <c r="C87" s="1"/>
      <c r="D87" s="1"/>
      <c r="E87" s="1"/>
      <c r="F87" s="1"/>
      <c r="G87" s="20"/>
      <c r="H87" s="21"/>
      <c r="I87" s="2"/>
      <c r="J87" s="21"/>
      <c r="K87" s="22"/>
    </row>
    <row r="88">
      <c r="A88" s="18"/>
      <c r="B88" s="23" t="s">
        <v>63</v>
      </c>
      <c r="C88" s="1"/>
      <c r="D88" s="1"/>
      <c r="E88" s="1"/>
      <c r="F88" s="1"/>
      <c r="G88" s="20"/>
      <c r="H88" s="21"/>
      <c r="I88" s="2"/>
      <c r="J88" s="21"/>
      <c r="K88" s="22"/>
    </row>
    <row r="89">
      <c r="A89" s="18"/>
      <c r="B89" s="23" t="s">
        <v>64</v>
      </c>
      <c r="C89" s="1"/>
      <c r="D89" s="1"/>
      <c r="E89" s="1"/>
      <c r="F89" s="1"/>
      <c r="G89" s="20"/>
      <c r="H89" s="21"/>
      <c r="I89" s="2"/>
      <c r="J89" s="21"/>
      <c r="K89" s="22"/>
    </row>
    <row r="90">
      <c r="A90" s="18"/>
      <c r="B90" s="29">
        <f>M73</f>
        <v>25</v>
      </c>
      <c r="C90" s="2" t="s">
        <v>51</v>
      </c>
      <c r="D90" s="12">
        <f>O73</f>
        <v>0.5</v>
      </c>
      <c r="E90" s="2" t="s">
        <v>59</v>
      </c>
      <c r="F90" s="1"/>
      <c r="G90" s="20"/>
      <c r="H90" s="21" t="s">
        <v>60</v>
      </c>
      <c r="I90" s="2">
        <f>B90*D90</f>
        <v>12.5</v>
      </c>
      <c r="J90" s="25">
        <v>30.300000000000001</v>
      </c>
      <c r="K90" s="26">
        <f t="shared" ref="K90:K97" si="0">I90*J90</f>
        <v>378.75</v>
      </c>
      <c r="L90" s="2"/>
      <c r="M90" s="2"/>
      <c r="N90" s="2"/>
      <c r="O90" s="2"/>
      <c r="P90" s="31"/>
      <c r="Q90" s="2"/>
    </row>
    <row r="91">
      <c r="A91" s="18"/>
      <c r="B91" s="29">
        <f>M73</f>
        <v>25</v>
      </c>
      <c r="C91" s="2" t="s">
        <v>51</v>
      </c>
      <c r="D91" s="12">
        <f>Q73</f>
        <v>0.59999999999999998</v>
      </c>
      <c r="E91" s="2" t="s">
        <v>65</v>
      </c>
      <c r="F91" s="2">
        <v>2</v>
      </c>
      <c r="G91" s="20"/>
      <c r="H91" s="21" t="s">
        <v>60</v>
      </c>
      <c r="I91" s="2">
        <f>B91*D91*F91</f>
        <v>30</v>
      </c>
      <c r="J91" s="25">
        <v>30.300000000000001</v>
      </c>
      <c r="K91" s="26">
        <f t="shared" si="0"/>
        <v>909</v>
      </c>
      <c r="L91" s="2"/>
      <c r="M91" s="2"/>
      <c r="N91" s="2"/>
      <c r="O91" s="2"/>
      <c r="P91" s="31"/>
      <c r="Q91" s="2"/>
    </row>
    <row r="92">
      <c r="A92" s="18"/>
      <c r="B92" s="29"/>
      <c r="C92" s="2"/>
      <c r="D92" s="12"/>
      <c r="E92" s="2"/>
      <c r="F92" s="2"/>
      <c r="G92" s="20"/>
      <c r="H92" s="21"/>
      <c r="I92" s="2"/>
      <c r="J92" s="25"/>
      <c r="K92" s="26"/>
      <c r="L92" s="2"/>
      <c r="M92" s="2"/>
      <c r="N92" s="2"/>
      <c r="O92" s="2"/>
      <c r="P92" s="31"/>
      <c r="Q92" s="2"/>
    </row>
    <row r="93">
      <c r="A93" s="18" t="s">
        <v>66</v>
      </c>
      <c r="B93" s="32" t="s">
        <v>67</v>
      </c>
      <c r="C93" s="2"/>
      <c r="D93" s="12"/>
      <c r="E93" s="2"/>
      <c r="F93" s="1"/>
      <c r="G93" s="20"/>
      <c r="H93" s="21"/>
      <c r="I93" s="2"/>
      <c r="J93" s="25"/>
      <c r="K93" s="26"/>
      <c r="L93" s="2"/>
      <c r="M93" s="2"/>
      <c r="N93" s="2"/>
      <c r="O93" s="2"/>
      <c r="P93" s="31"/>
      <c r="Q93" s="2"/>
    </row>
    <row r="94">
      <c r="A94" s="18"/>
      <c r="B94" s="23" t="s">
        <v>68</v>
      </c>
      <c r="C94" s="1"/>
      <c r="D94" s="1"/>
      <c r="E94" s="1"/>
      <c r="F94" s="1"/>
      <c r="G94" s="20"/>
      <c r="H94" s="21"/>
      <c r="I94" s="2"/>
      <c r="J94" s="25"/>
      <c r="K94" s="26"/>
    </row>
    <row r="95">
      <c r="A95" s="18"/>
      <c r="B95" s="23" t="s">
        <v>69</v>
      </c>
      <c r="C95" s="1"/>
      <c r="D95" s="1"/>
      <c r="E95" s="1"/>
      <c r="F95" s="1"/>
      <c r="G95" s="20"/>
      <c r="H95" s="21"/>
      <c r="I95" s="2"/>
      <c r="J95" s="21"/>
      <c r="K95" s="22"/>
    </row>
    <row r="96">
      <c r="A96" s="18"/>
      <c r="B96" s="23" t="s">
        <v>70</v>
      </c>
      <c r="C96" s="1"/>
      <c r="D96" s="1"/>
      <c r="E96" s="1"/>
      <c r="F96" s="1"/>
      <c r="G96" s="20"/>
      <c r="H96" s="21"/>
      <c r="I96" s="2"/>
      <c r="J96" s="21"/>
      <c r="K96" s="22"/>
    </row>
    <row r="97">
      <c r="A97" s="18"/>
      <c r="B97" s="29">
        <f>M73</f>
        <v>25</v>
      </c>
      <c r="C97" s="2" t="s">
        <v>51</v>
      </c>
      <c r="D97" s="12">
        <f>Q73</f>
        <v>0.59999999999999998</v>
      </c>
      <c r="E97" s="2" t="s">
        <v>71</v>
      </c>
      <c r="F97" s="2">
        <v>2</v>
      </c>
      <c r="G97" s="20"/>
      <c r="H97" s="21" t="s">
        <v>60</v>
      </c>
      <c r="I97" s="2">
        <f>B97*D97*F97</f>
        <v>30</v>
      </c>
      <c r="J97" s="25">
        <v>28.050000000000001</v>
      </c>
      <c r="K97" s="26">
        <f t="shared" si="0"/>
        <v>841.5</v>
      </c>
      <c r="L97" s="2"/>
      <c r="M97" s="2"/>
      <c r="N97" s="2"/>
      <c r="O97" s="2"/>
      <c r="P97" s="31"/>
      <c r="Q97" s="2"/>
    </row>
    <row r="98">
      <c r="A98" s="18"/>
      <c r="B98" s="23"/>
      <c r="C98" s="1"/>
      <c r="D98" s="1"/>
      <c r="E98" s="1"/>
      <c r="F98" s="1"/>
      <c r="G98" s="20"/>
      <c r="H98" s="21"/>
      <c r="I98" s="2"/>
      <c r="J98" s="21"/>
      <c r="K98" s="22"/>
    </row>
    <row r="99">
      <c r="A99" s="18" t="s">
        <v>72</v>
      </c>
      <c r="B99" s="19" t="s">
        <v>73</v>
      </c>
      <c r="C99" s="1"/>
      <c r="D99" s="1"/>
      <c r="E99" s="1"/>
      <c r="F99" s="1"/>
      <c r="G99" s="20"/>
      <c r="H99" s="21"/>
      <c r="I99" s="2"/>
      <c r="J99" s="21"/>
      <c r="K99" s="22"/>
    </row>
    <row r="100">
      <c r="A100" s="18"/>
      <c r="B100" s="23" t="s">
        <v>74</v>
      </c>
      <c r="C100" s="1"/>
      <c r="D100" s="1"/>
      <c r="E100" s="1"/>
      <c r="F100" s="1"/>
      <c r="G100" s="20"/>
      <c r="H100" s="21"/>
      <c r="I100" s="2"/>
      <c r="J100" s="21"/>
      <c r="K100" s="22"/>
    </row>
    <row r="101">
      <c r="A101" s="18"/>
      <c r="B101" s="23" t="s">
        <v>75</v>
      </c>
      <c r="C101" s="1"/>
      <c r="D101" s="1"/>
      <c r="E101" s="1"/>
      <c r="F101" s="1"/>
      <c r="G101" s="20"/>
      <c r="H101" s="21"/>
      <c r="I101" s="2"/>
      <c r="J101" s="21"/>
      <c r="K101" s="22"/>
    </row>
    <row r="102">
      <c r="A102" s="18"/>
      <c r="B102" s="23" t="s">
        <v>76</v>
      </c>
      <c r="C102" s="1"/>
      <c r="D102" s="1"/>
      <c r="E102" s="1"/>
      <c r="F102" s="1"/>
      <c r="G102" s="20"/>
      <c r="H102" s="21"/>
      <c r="I102" s="2"/>
      <c r="J102" s="21"/>
      <c r="K102" s="22"/>
    </row>
    <row r="103">
      <c r="A103" s="18"/>
      <c r="B103" s="23" t="s">
        <v>77</v>
      </c>
      <c r="C103" s="1"/>
      <c r="D103" s="1"/>
      <c r="E103" s="1"/>
      <c r="F103" s="1"/>
      <c r="G103" s="20"/>
      <c r="H103" s="21"/>
      <c r="I103" s="2"/>
      <c r="J103" s="21"/>
      <c r="K103" s="22"/>
    </row>
    <row r="104">
      <c r="A104" s="18"/>
      <c r="B104" s="29">
        <f>M73</f>
        <v>25</v>
      </c>
      <c r="C104" s="2" t="s">
        <v>51</v>
      </c>
      <c r="D104" s="12">
        <f>O73</f>
        <v>0.5</v>
      </c>
      <c r="E104" s="2" t="s">
        <v>59</v>
      </c>
      <c r="F104" s="1"/>
      <c r="G104" s="20"/>
      <c r="H104" s="21" t="s">
        <v>60</v>
      </c>
      <c r="I104" s="2">
        <f>B104*D104</f>
        <v>12.5</v>
      </c>
      <c r="J104" s="25">
        <v>46.009999999999998</v>
      </c>
      <c r="K104" s="26">
        <f t="shared" ref="K104:K110" si="1">I104*J104</f>
        <v>575.125</v>
      </c>
      <c r="L104" s="2"/>
      <c r="M104" s="2"/>
      <c r="N104" s="2"/>
      <c r="O104" s="2"/>
      <c r="P104" s="31"/>
      <c r="Q104" s="2"/>
    </row>
    <row r="105">
      <c r="A105" s="18"/>
      <c r="B105" s="29">
        <f>M73</f>
        <v>25</v>
      </c>
      <c r="C105" s="2" t="s">
        <v>51</v>
      </c>
      <c r="D105" s="12">
        <f>Q73</f>
        <v>0.59999999999999998</v>
      </c>
      <c r="E105" s="2" t="s">
        <v>71</v>
      </c>
      <c r="F105" s="2">
        <v>2</v>
      </c>
      <c r="G105" s="20"/>
      <c r="H105" s="21" t="s">
        <v>60</v>
      </c>
      <c r="I105" s="2">
        <f>B105*D105*F105</f>
        <v>30</v>
      </c>
      <c r="J105" s="25">
        <v>46.009999999999998</v>
      </c>
      <c r="K105" s="26">
        <f t="shared" si="1"/>
        <v>1380.3</v>
      </c>
      <c r="L105" s="2"/>
      <c r="M105" s="2"/>
      <c r="N105" s="2"/>
      <c r="O105" s="2"/>
      <c r="P105" s="31"/>
      <c r="Q105" s="2"/>
    </row>
    <row r="106">
      <c r="A106" s="18"/>
      <c r="B106" s="23"/>
      <c r="C106" s="1"/>
      <c r="D106" s="1"/>
      <c r="E106" s="1"/>
      <c r="F106" s="1"/>
      <c r="G106" s="20"/>
      <c r="H106" s="21"/>
      <c r="I106" s="2"/>
      <c r="J106" s="21"/>
      <c r="K106" s="22"/>
    </row>
    <row r="107">
      <c r="A107" s="18" t="s">
        <v>78</v>
      </c>
      <c r="B107" s="19" t="s">
        <v>79</v>
      </c>
      <c r="C107" s="1"/>
      <c r="D107" s="1"/>
      <c r="E107" s="1"/>
      <c r="F107" s="1"/>
      <c r="G107" s="20"/>
      <c r="H107" s="21"/>
      <c r="I107" s="2"/>
      <c r="J107" s="21"/>
      <c r="K107" s="22"/>
    </row>
    <row r="108">
      <c r="A108" s="18"/>
      <c r="B108" s="23" t="s">
        <v>80</v>
      </c>
      <c r="C108" s="1"/>
      <c r="D108" s="1"/>
      <c r="E108" s="1"/>
      <c r="F108" s="1"/>
      <c r="G108" s="20"/>
      <c r="H108" s="21"/>
      <c r="I108" s="2"/>
      <c r="J108" s="21"/>
      <c r="K108" s="22"/>
    </row>
    <row r="109">
      <c r="A109" s="18"/>
      <c r="B109" s="23" t="s">
        <v>81</v>
      </c>
      <c r="C109" s="1"/>
      <c r="D109" s="1" t="s">
        <v>82</v>
      </c>
      <c r="E109" s="1"/>
      <c r="F109" s="1"/>
      <c r="G109" s="20"/>
      <c r="H109" s="21"/>
      <c r="I109" s="2"/>
      <c r="J109" s="21"/>
      <c r="K109" s="22"/>
    </row>
    <row r="110">
      <c r="A110" s="18"/>
      <c r="B110" s="24" t="s">
        <v>83</v>
      </c>
      <c r="C110" s="1"/>
      <c r="D110" s="1"/>
      <c r="E110" s="1"/>
      <c r="F110" s="1"/>
      <c r="G110" s="20"/>
      <c r="H110" s="21" t="s">
        <v>84</v>
      </c>
      <c r="I110" s="2">
        <f>M73</f>
        <v>25</v>
      </c>
      <c r="J110" s="33">
        <v>17.699999999999999</v>
      </c>
      <c r="K110" s="26">
        <f t="shared" si="1"/>
        <v>442.5</v>
      </c>
    </row>
    <row r="111">
      <c r="A111" s="18"/>
      <c r="B111" s="24"/>
      <c r="C111" s="1"/>
      <c r="D111" s="1"/>
      <c r="E111" s="1"/>
      <c r="F111" s="1"/>
      <c r="G111" s="20"/>
      <c r="H111" s="21"/>
      <c r="I111" s="2"/>
      <c r="J111" s="21"/>
      <c r="K111" s="26"/>
    </row>
    <row r="112">
      <c r="A112" s="18"/>
      <c r="B112" s="24"/>
      <c r="C112" s="1"/>
      <c r="D112" s="1"/>
      <c r="E112" s="1"/>
      <c r="F112" s="1"/>
      <c r="G112" s="20"/>
      <c r="H112" s="21"/>
      <c r="I112" s="2"/>
      <c r="J112" s="25"/>
      <c r="K112" s="26"/>
    </row>
    <row r="113">
      <c r="A113" s="18" t="s">
        <v>85</v>
      </c>
      <c r="B113" s="19" t="s">
        <v>86</v>
      </c>
      <c r="C113" s="1"/>
      <c r="D113" s="1"/>
      <c r="E113" s="1"/>
      <c r="F113" s="1"/>
      <c r="G113" s="20"/>
      <c r="H113" s="21"/>
      <c r="I113" s="2"/>
      <c r="J113" s="21"/>
      <c r="K113" s="22"/>
    </row>
    <row r="114">
      <c r="A114" s="18"/>
      <c r="B114" s="23" t="s">
        <v>87</v>
      </c>
      <c r="C114" s="1"/>
      <c r="D114" s="1"/>
      <c r="E114" s="1"/>
      <c r="F114" s="1"/>
      <c r="G114" s="20"/>
      <c r="H114" s="21"/>
      <c r="I114" s="2"/>
      <c r="J114" s="21"/>
      <c r="K114" s="22"/>
    </row>
    <row r="115">
      <c r="A115" s="18"/>
      <c r="B115" s="23"/>
      <c r="C115" s="1"/>
      <c r="D115" s="1"/>
      <c r="E115" s="1"/>
      <c r="F115" s="1"/>
      <c r="G115" s="20"/>
      <c r="H115" s="21"/>
      <c r="I115" s="2"/>
      <c r="J115" s="21"/>
      <c r="K115" s="22"/>
    </row>
    <row r="116">
      <c r="A116" s="18"/>
      <c r="B116" s="24" t="s">
        <v>88</v>
      </c>
      <c r="C116" s="1"/>
      <c r="D116" s="1"/>
      <c r="E116" s="1"/>
      <c r="F116" s="1"/>
      <c r="G116" s="20"/>
      <c r="H116" s="21" t="s">
        <v>23</v>
      </c>
      <c r="I116" s="2"/>
      <c r="J116" s="25">
        <v>425</v>
      </c>
      <c r="K116" s="26">
        <f>J116</f>
        <v>425</v>
      </c>
    </row>
    <row r="117">
      <c r="A117" s="18"/>
      <c r="B117" s="24"/>
      <c r="C117" s="1"/>
      <c r="D117" s="1"/>
      <c r="E117" s="1"/>
      <c r="F117" s="1"/>
      <c r="G117" s="20"/>
      <c r="H117" s="21"/>
      <c r="I117" s="2"/>
      <c r="J117" s="25"/>
      <c r="K117" s="26"/>
    </row>
    <row r="118">
      <c r="A118" s="18"/>
      <c r="B118" s="24"/>
      <c r="C118" s="1"/>
      <c r="D118" s="1"/>
      <c r="E118" s="1"/>
      <c r="F118" s="1"/>
      <c r="G118" s="20"/>
      <c r="H118" s="21"/>
      <c r="I118" s="2"/>
      <c r="J118" s="25"/>
      <c r="K118" s="26"/>
    </row>
    <row r="119">
      <c r="A119" s="18"/>
      <c r="B119" s="24"/>
      <c r="C119" s="1"/>
      <c r="D119" s="1"/>
      <c r="E119" s="1"/>
      <c r="F119" s="1"/>
      <c r="G119" s="20"/>
      <c r="H119" s="21"/>
      <c r="I119" s="2"/>
      <c r="J119" s="25"/>
      <c r="K119" s="26"/>
    </row>
    <row r="120">
      <c r="A120" s="18"/>
      <c r="B120" s="24"/>
      <c r="C120" s="1"/>
      <c r="D120" s="1"/>
      <c r="E120" s="1"/>
      <c r="F120" s="1"/>
      <c r="G120" s="20"/>
      <c r="H120" s="21"/>
      <c r="I120" s="2"/>
      <c r="J120" s="25"/>
      <c r="K120" s="26"/>
    </row>
    <row r="121">
      <c r="A121" s="18"/>
      <c r="B121" s="24"/>
      <c r="C121" s="1"/>
      <c r="D121" s="1"/>
      <c r="E121" s="1"/>
      <c r="F121" s="1"/>
      <c r="G121" s="20"/>
      <c r="H121" s="21"/>
      <c r="I121" s="2"/>
      <c r="J121" s="25"/>
      <c r="K121" s="26"/>
    </row>
    <row r="122">
      <c r="A122" s="18"/>
      <c r="B122" s="24"/>
      <c r="C122" s="1"/>
      <c r="D122" s="1"/>
      <c r="E122" s="1"/>
      <c r="F122" s="1"/>
      <c r="G122" s="20"/>
      <c r="H122" s="21"/>
      <c r="I122" s="2"/>
      <c r="J122" s="25"/>
      <c r="K122" s="26"/>
    </row>
    <row r="123">
      <c r="A123" s="18"/>
      <c r="B123" s="24"/>
      <c r="C123" s="1"/>
      <c r="D123" s="1"/>
      <c r="E123" s="1"/>
      <c r="F123" s="1"/>
      <c r="G123" s="20"/>
      <c r="H123" s="21"/>
      <c r="I123" s="2"/>
      <c r="J123" s="25"/>
      <c r="K123" s="26"/>
    </row>
    <row r="124">
      <c r="A124" s="18"/>
      <c r="B124" s="24"/>
      <c r="C124" s="1"/>
      <c r="D124" s="1"/>
      <c r="E124" s="1"/>
      <c r="F124" s="1"/>
      <c r="G124" s="20"/>
      <c r="H124" s="21"/>
      <c r="I124" s="2"/>
      <c r="J124" s="25"/>
      <c r="K124" s="26"/>
    </row>
    <row r="125">
      <c r="A125" s="18"/>
      <c r="B125" s="24"/>
      <c r="C125" s="1"/>
      <c r="D125" s="1"/>
      <c r="E125" s="1"/>
      <c r="F125" s="1"/>
      <c r="G125" s="20"/>
      <c r="H125" s="21"/>
      <c r="I125" s="2"/>
      <c r="J125" s="25"/>
      <c r="K125" s="26"/>
    </row>
    <row r="126">
      <c r="A126" s="18"/>
      <c r="B126" s="24"/>
      <c r="C126" s="1"/>
      <c r="D126" s="1"/>
      <c r="E126" s="1"/>
      <c r="F126" s="1"/>
      <c r="G126" s="20"/>
      <c r="H126" s="21"/>
      <c r="I126" s="2"/>
      <c r="J126" s="25"/>
      <c r="K126" s="26"/>
    </row>
    <row r="127">
      <c r="A127" s="18"/>
      <c r="B127" s="24"/>
      <c r="C127" s="1"/>
      <c r="D127" s="1"/>
      <c r="E127" s="1"/>
      <c r="F127" s="1"/>
      <c r="G127" s="20"/>
      <c r="H127" s="21"/>
      <c r="I127" s="2"/>
      <c r="J127" s="25"/>
      <c r="K127" s="26"/>
    </row>
    <row r="128">
      <c r="A128" s="18"/>
      <c r="B128" s="24"/>
      <c r="C128" s="1"/>
      <c r="D128" s="1"/>
      <c r="E128" s="1"/>
      <c r="F128" s="1"/>
      <c r="G128" s="20"/>
      <c r="H128" s="21"/>
      <c r="I128" s="2"/>
      <c r="J128" s="25"/>
      <c r="K128" s="26"/>
    </row>
    <row r="129">
      <c r="A129" s="18"/>
      <c r="B129" s="24"/>
      <c r="C129" s="1"/>
      <c r="D129" s="1"/>
      <c r="E129" s="1"/>
      <c r="F129" s="1"/>
      <c r="G129" s="20"/>
      <c r="H129" s="21"/>
      <c r="I129" s="2"/>
      <c r="J129" s="25"/>
      <c r="K129" s="26"/>
    </row>
    <row r="130">
      <c r="A130" s="18"/>
      <c r="B130" s="24"/>
      <c r="C130" s="1"/>
      <c r="D130" s="1"/>
      <c r="E130" s="1"/>
      <c r="F130" s="1"/>
      <c r="G130" s="20"/>
      <c r="H130" s="21"/>
      <c r="I130" s="2"/>
      <c r="J130" s="25"/>
      <c r="K130" s="26"/>
    </row>
    <row r="131">
      <c r="A131" s="18"/>
      <c r="B131" s="24"/>
      <c r="C131" s="1"/>
      <c r="D131" s="1"/>
      <c r="E131" s="1"/>
      <c r="F131" s="1"/>
      <c r="G131" s="20"/>
      <c r="H131" s="21"/>
      <c r="I131" s="2"/>
      <c r="J131" s="25"/>
      <c r="K131" s="26"/>
    </row>
    <row r="132">
      <c r="A132" s="18"/>
      <c r="B132" s="24"/>
      <c r="C132" s="1"/>
      <c r="D132" s="1"/>
      <c r="E132" s="1"/>
      <c r="F132" s="1"/>
      <c r="G132" s="20"/>
      <c r="H132" s="21"/>
      <c r="I132" s="2"/>
      <c r="J132" s="25"/>
      <c r="K132" s="26"/>
    </row>
    <row r="133">
      <c r="A133" s="18"/>
      <c r="B133" s="24"/>
      <c r="C133" s="1"/>
      <c r="D133" s="1"/>
      <c r="E133" s="1"/>
      <c r="F133" s="1"/>
      <c r="G133" s="20"/>
      <c r="H133" s="21"/>
      <c r="I133" s="2"/>
      <c r="J133" s="25"/>
      <c r="K133" s="26"/>
    </row>
    <row r="134">
      <c r="A134" s="18"/>
      <c r="B134" s="24"/>
      <c r="C134" s="1"/>
      <c r="D134" s="1"/>
      <c r="E134" s="1"/>
      <c r="F134" s="1"/>
      <c r="G134" s="20"/>
      <c r="H134" s="21"/>
      <c r="I134" s="2"/>
      <c r="J134" s="25"/>
      <c r="K134" s="26"/>
    </row>
    <row r="135">
      <c r="A135" s="18"/>
      <c r="B135" s="24"/>
      <c r="C135" s="1"/>
      <c r="D135" s="1"/>
      <c r="E135" s="1"/>
      <c r="F135" s="1"/>
      <c r="G135" s="20"/>
      <c r="H135" s="21"/>
      <c r="I135" s="2"/>
      <c r="J135" s="25"/>
      <c r="K135" s="26"/>
    </row>
    <row r="136">
      <c r="A136" s="18"/>
      <c r="B136" s="24"/>
      <c r="C136" s="1"/>
      <c r="D136" s="1"/>
      <c r="E136" s="1"/>
      <c r="F136" s="1"/>
      <c r="G136" s="20"/>
      <c r="H136" s="21"/>
      <c r="I136" s="2"/>
      <c r="J136" s="25"/>
      <c r="K136" s="26"/>
    </row>
    <row r="137">
      <c r="A137" s="18"/>
      <c r="B137" s="24"/>
      <c r="C137" s="1"/>
      <c r="D137" s="1"/>
      <c r="E137" s="1"/>
      <c r="F137" s="1"/>
      <c r="G137" s="20"/>
      <c r="H137" s="21"/>
      <c r="I137" s="2"/>
      <c r="J137" s="25"/>
      <c r="K137" s="26"/>
    </row>
    <row r="138">
      <c r="A138" s="18"/>
      <c r="B138" s="23"/>
      <c r="C138" s="1"/>
      <c r="D138" s="1"/>
      <c r="E138" s="1"/>
      <c r="F138" s="1"/>
      <c r="G138" s="20"/>
      <c r="H138" s="21"/>
      <c r="I138" s="2"/>
      <c r="J138" s="25"/>
      <c r="K138" s="26"/>
    </row>
    <row r="139" ht="12">
      <c r="A139" s="18"/>
      <c r="B139" s="23"/>
      <c r="C139" s="1"/>
      <c r="D139" s="1"/>
      <c r="E139" s="1"/>
      <c r="F139" s="1"/>
      <c r="G139" s="20"/>
      <c r="H139" s="21"/>
      <c r="I139" s="2"/>
      <c r="J139" s="25"/>
      <c r="K139" s="26"/>
    </row>
    <row r="140" ht="12">
      <c r="A140" s="6" t="s">
        <v>42</v>
      </c>
      <c r="B140" s="7"/>
      <c r="C140" s="7"/>
      <c r="D140" s="7"/>
      <c r="E140" s="7"/>
      <c r="F140" s="7"/>
      <c r="G140" s="7"/>
      <c r="H140" s="7"/>
      <c r="I140" s="7"/>
      <c r="J140" s="8"/>
      <c r="K140" s="27">
        <f>SUM(K71:K139)</f>
        <v>5854.75</v>
      </c>
    </row>
    <row r="141">
      <c r="A141" s="2"/>
      <c r="B141" s="1"/>
      <c r="C141" s="1"/>
      <c r="D141" s="1"/>
      <c r="E141" s="1"/>
      <c r="F141" s="1"/>
      <c r="G141" s="1"/>
      <c r="H141" s="2"/>
      <c r="I141" s="2"/>
      <c r="J141" s="2"/>
      <c r="K141" s="2"/>
    </row>
    <row r="142">
      <c r="A142" s="2"/>
      <c r="B142" s="1"/>
      <c r="C142" s="1"/>
      <c r="D142" s="1"/>
      <c r="E142" s="1"/>
      <c r="F142" s="1"/>
      <c r="G142" s="1"/>
      <c r="H142" s="2"/>
      <c r="I142" s="2"/>
      <c r="J142" s="2"/>
      <c r="K142" s="2"/>
    </row>
    <row r="143" ht="12">
      <c r="A143" s="2"/>
      <c r="B143" s="1"/>
      <c r="C143" s="1"/>
      <c r="D143" s="1"/>
      <c r="E143" s="1"/>
      <c r="F143" s="1"/>
      <c r="G143" s="1"/>
      <c r="H143" s="2"/>
      <c r="I143" s="2"/>
      <c r="J143" s="2"/>
      <c r="K143" s="2"/>
    </row>
    <row r="144" ht="34.5">
      <c r="A144" s="13" t="s">
        <v>7</v>
      </c>
      <c r="B144" s="14" t="s">
        <v>8</v>
      </c>
      <c r="C144" s="15"/>
      <c r="D144" s="15"/>
      <c r="E144" s="15"/>
      <c r="F144" s="15"/>
      <c r="G144" s="16"/>
      <c r="H144" s="13" t="s">
        <v>9</v>
      </c>
      <c r="I144" s="17" t="s">
        <v>10</v>
      </c>
      <c r="J144" s="13" t="s">
        <v>11</v>
      </c>
      <c r="K144" s="13" t="s">
        <v>12</v>
      </c>
    </row>
    <row r="145" ht="12">
      <c r="A145" s="18"/>
      <c r="B145" s="19" t="s">
        <v>89</v>
      </c>
      <c r="C145" s="1"/>
      <c r="D145" s="1"/>
      <c r="E145" s="1"/>
      <c r="F145" s="1"/>
      <c r="G145" s="20"/>
      <c r="H145" s="21"/>
      <c r="I145" s="2"/>
      <c r="J145" s="21"/>
      <c r="K145" s="22"/>
      <c r="N145" s="6" t="s">
        <v>44</v>
      </c>
      <c r="O145" s="8"/>
      <c r="P145" s="6" t="s">
        <v>45</v>
      </c>
      <c r="Q145" s="8"/>
      <c r="R145" s="28" t="s">
        <v>7</v>
      </c>
    </row>
    <row r="146" ht="12">
      <c r="A146" s="18"/>
      <c r="B146" s="24" t="str">
        <f>E3</f>
        <v xml:space="preserve">JALAN SG 6/14 </v>
      </c>
      <c r="C146" s="1"/>
      <c r="D146" s="1"/>
      <c r="E146" s="1"/>
      <c r="F146" s="1"/>
      <c r="G146" s="20"/>
      <c r="H146" s="21"/>
      <c r="I146" s="2"/>
      <c r="J146" s="21"/>
      <c r="K146" s="22"/>
      <c r="N146" s="6">
        <v>1</v>
      </c>
      <c r="O146" s="8"/>
      <c r="P146" s="6">
        <v>1</v>
      </c>
      <c r="Q146" s="8"/>
      <c r="R146" s="28">
        <v>3</v>
      </c>
    </row>
    <row r="147">
      <c r="A147" s="18"/>
      <c r="B147" s="24"/>
      <c r="C147" s="1"/>
      <c r="D147" s="1"/>
      <c r="E147" s="1"/>
      <c r="F147" s="1"/>
      <c r="G147" s="20"/>
      <c r="H147" s="21"/>
      <c r="I147" s="2"/>
      <c r="J147" s="21"/>
      <c r="K147" s="22"/>
    </row>
    <row r="148">
      <c r="A148" s="18" t="s">
        <v>15</v>
      </c>
      <c r="B148" s="19" t="s">
        <v>90</v>
      </c>
      <c r="C148" s="1"/>
      <c r="D148" s="1"/>
      <c r="E148" s="1"/>
      <c r="F148" s="1"/>
      <c r="G148" s="20"/>
      <c r="H148" s="21"/>
      <c r="I148" s="2"/>
      <c r="J148" s="21"/>
      <c r="K148" s="22"/>
    </row>
    <row r="149">
      <c r="A149" s="18"/>
      <c r="B149" s="23" t="s">
        <v>91</v>
      </c>
      <c r="C149" s="1"/>
      <c r="D149" s="1"/>
      <c r="E149" s="1"/>
      <c r="F149" s="1"/>
      <c r="G149" s="20"/>
      <c r="H149" s="21"/>
      <c r="I149" s="2"/>
      <c r="J149" s="21"/>
      <c r="K149" s="22"/>
    </row>
    <row r="150">
      <c r="A150" s="18"/>
      <c r="B150" s="23" t="s">
        <v>92</v>
      </c>
      <c r="C150" s="1"/>
      <c r="D150" s="1"/>
      <c r="E150" s="1"/>
      <c r="F150" s="1"/>
      <c r="G150" s="20"/>
      <c r="H150" s="21"/>
      <c r="I150" s="2"/>
      <c r="J150" s="21"/>
      <c r="K150" s="22"/>
    </row>
    <row r="151">
      <c r="A151" s="18"/>
      <c r="B151" s="23" t="s">
        <v>93</v>
      </c>
      <c r="C151" s="1"/>
      <c r="D151" s="1"/>
      <c r="E151" s="1"/>
      <c r="F151" s="1"/>
      <c r="G151" s="20"/>
      <c r="H151" s="21"/>
      <c r="I151" s="2"/>
      <c r="J151" s="21"/>
      <c r="K151" s="22"/>
    </row>
    <row r="152">
      <c r="A152" s="18"/>
      <c r="B152" s="29">
        <f>N146</f>
        <v>1</v>
      </c>
      <c r="C152" s="2" t="s">
        <v>51</v>
      </c>
      <c r="D152" s="12">
        <f>P146</f>
        <v>1</v>
      </c>
      <c r="E152" s="2" t="s">
        <v>94</v>
      </c>
      <c r="F152" s="2">
        <v>0.10000000000000001</v>
      </c>
      <c r="G152" s="30" t="s">
        <v>53</v>
      </c>
      <c r="H152" s="21" t="s">
        <v>54</v>
      </c>
      <c r="I152" s="2">
        <f>B152*D152*F152*R146</f>
        <v>0.30000000000000004</v>
      </c>
      <c r="J152" s="25">
        <v>384.69999999999999</v>
      </c>
      <c r="K152" s="26">
        <f>I152*J152</f>
        <v>115.41000000000001</v>
      </c>
      <c r="L152" s="2"/>
      <c r="M152" s="2"/>
      <c r="N152" s="2"/>
      <c r="O152" s="2"/>
      <c r="P152" s="31"/>
      <c r="Q152" s="2"/>
    </row>
    <row r="153">
      <c r="A153" s="18"/>
      <c r="B153" s="23"/>
      <c r="C153" s="1"/>
      <c r="D153" s="1"/>
      <c r="E153" s="1"/>
      <c r="F153" s="1"/>
      <c r="G153" s="20"/>
      <c r="H153" s="21"/>
      <c r="I153" s="2"/>
      <c r="J153" s="21"/>
      <c r="K153" s="22"/>
    </row>
    <row r="154">
      <c r="A154" s="18" t="s">
        <v>31</v>
      </c>
      <c r="B154" s="19" t="s">
        <v>67</v>
      </c>
      <c r="C154" s="1"/>
      <c r="D154" s="1"/>
      <c r="E154" s="1"/>
      <c r="F154" s="1"/>
      <c r="G154" s="20"/>
      <c r="H154" s="21"/>
      <c r="I154" s="2"/>
      <c r="J154" s="21"/>
      <c r="K154" s="22"/>
    </row>
    <row r="155">
      <c r="A155" s="18"/>
      <c r="B155" s="23" t="s">
        <v>68</v>
      </c>
      <c r="C155" s="1"/>
      <c r="D155" s="1"/>
      <c r="E155" s="1"/>
      <c r="F155" s="1"/>
      <c r="G155" s="20"/>
      <c r="H155" s="21"/>
      <c r="I155" s="2"/>
      <c r="J155" s="21"/>
      <c r="K155" s="22"/>
    </row>
    <row r="156">
      <c r="A156" s="18"/>
      <c r="B156" s="23" t="s">
        <v>95</v>
      </c>
      <c r="C156" s="1"/>
      <c r="D156" s="1"/>
      <c r="E156" s="1"/>
      <c r="F156" s="1"/>
      <c r="G156" s="20"/>
      <c r="H156" s="21"/>
      <c r="I156" s="2"/>
      <c r="J156" s="21"/>
      <c r="K156" s="22"/>
    </row>
    <row r="157">
      <c r="A157" s="18"/>
      <c r="B157" s="23" t="s">
        <v>96</v>
      </c>
      <c r="C157" s="1"/>
      <c r="D157" s="1"/>
      <c r="E157" s="1"/>
      <c r="F157" s="1"/>
      <c r="G157" s="20"/>
      <c r="H157" s="21"/>
      <c r="I157" s="2"/>
      <c r="J157" s="25"/>
      <c r="K157" s="26"/>
    </row>
    <row r="158">
      <c r="A158" s="18"/>
      <c r="B158" s="29">
        <f>N146</f>
        <v>1</v>
      </c>
      <c r="C158" s="2" t="s">
        <v>51</v>
      </c>
      <c r="D158" s="12">
        <f>P146</f>
        <v>1</v>
      </c>
      <c r="E158" s="2" t="s">
        <v>94</v>
      </c>
      <c r="F158" s="2">
        <f>R146</f>
        <v>3</v>
      </c>
      <c r="G158" s="30" t="s">
        <v>97</v>
      </c>
      <c r="H158" s="21" t="s">
        <v>60</v>
      </c>
      <c r="I158" s="2">
        <f>B158*D158*F158</f>
        <v>3</v>
      </c>
      <c r="J158" s="25">
        <v>68.109999999999999</v>
      </c>
      <c r="K158" s="26">
        <f>I158*J158</f>
        <v>204.32999999999998</v>
      </c>
      <c r="L158" s="2"/>
      <c r="M158" s="2"/>
      <c r="N158" s="2"/>
      <c r="O158" s="2"/>
      <c r="P158" s="31"/>
      <c r="Q158" s="2"/>
    </row>
    <row r="159">
      <c r="A159" s="18"/>
      <c r="B159" s="23"/>
      <c r="C159" s="1"/>
      <c r="D159" s="1"/>
      <c r="E159" s="1"/>
      <c r="F159" s="1"/>
      <c r="G159" s="20"/>
      <c r="H159" s="21"/>
      <c r="I159" s="2"/>
      <c r="J159" s="21"/>
      <c r="K159" s="22"/>
    </row>
    <row r="160">
      <c r="A160" s="18" t="s">
        <v>39</v>
      </c>
      <c r="B160" s="19" t="s">
        <v>61</v>
      </c>
      <c r="C160" s="1"/>
      <c r="D160" s="1"/>
      <c r="E160" s="1"/>
      <c r="F160" s="1"/>
      <c r="G160" s="20"/>
      <c r="H160" s="21"/>
      <c r="I160" s="2"/>
      <c r="J160" s="21"/>
      <c r="K160" s="22"/>
    </row>
    <row r="161">
      <c r="A161" s="18"/>
      <c r="B161" s="23" t="s">
        <v>98</v>
      </c>
      <c r="C161" s="1"/>
      <c r="D161" s="1"/>
      <c r="E161" s="1"/>
      <c r="F161" s="1"/>
      <c r="G161" s="20"/>
      <c r="H161" s="21"/>
      <c r="I161" s="2"/>
      <c r="J161" s="21"/>
      <c r="K161" s="22"/>
    </row>
    <row r="162">
      <c r="A162" s="18"/>
      <c r="B162" s="23" t="s">
        <v>99</v>
      </c>
      <c r="C162" s="1"/>
      <c r="D162" s="1"/>
      <c r="E162" s="1"/>
      <c r="F162" s="1"/>
      <c r="G162" s="20"/>
      <c r="H162" s="21"/>
      <c r="I162" s="2"/>
      <c r="J162" s="21"/>
      <c r="K162" s="22"/>
    </row>
    <row r="163">
      <c r="A163" s="18"/>
      <c r="B163" s="23" t="s">
        <v>100</v>
      </c>
      <c r="C163" s="1"/>
      <c r="D163" s="1"/>
      <c r="E163" s="1"/>
      <c r="F163" s="1"/>
      <c r="G163" s="20"/>
      <c r="H163" s="21"/>
      <c r="I163" s="2"/>
      <c r="J163" s="21"/>
      <c r="K163" s="22"/>
    </row>
    <row r="164">
      <c r="A164" s="18"/>
      <c r="B164" s="29">
        <f>N146</f>
        <v>1</v>
      </c>
      <c r="C164" s="2" t="s">
        <v>51</v>
      </c>
      <c r="D164" s="12">
        <f>P146</f>
        <v>1</v>
      </c>
      <c r="E164" s="2" t="s">
        <v>94</v>
      </c>
      <c r="F164" s="2">
        <f>R146</f>
        <v>3</v>
      </c>
      <c r="G164" s="30" t="s">
        <v>97</v>
      </c>
      <c r="H164" s="21" t="s">
        <v>60</v>
      </c>
      <c r="I164" s="2">
        <f>B164*D164*F164</f>
        <v>3</v>
      </c>
      <c r="J164" s="25">
        <v>101.8</v>
      </c>
      <c r="K164" s="26">
        <f>I164*J164</f>
        <v>305.39999999999998</v>
      </c>
      <c r="L164" s="2"/>
      <c r="M164" s="2"/>
      <c r="N164" s="2"/>
      <c r="O164" s="2"/>
      <c r="P164" s="31"/>
      <c r="Q164" s="2"/>
    </row>
    <row r="165">
      <c r="A165" s="18"/>
      <c r="B165" s="23"/>
      <c r="C165" s="1"/>
      <c r="D165" s="1"/>
      <c r="E165" s="1"/>
      <c r="F165" s="1"/>
      <c r="G165" s="20"/>
      <c r="H165" s="21"/>
      <c r="I165" s="2"/>
      <c r="J165" s="21"/>
      <c r="K165" s="22"/>
    </row>
    <row r="166">
      <c r="A166" s="18" t="s">
        <v>72</v>
      </c>
      <c r="B166" s="19" t="s">
        <v>73</v>
      </c>
      <c r="C166" s="1"/>
      <c r="D166" s="1"/>
      <c r="E166" s="1"/>
      <c r="F166" s="1"/>
      <c r="G166" s="20"/>
      <c r="H166" s="21"/>
      <c r="I166" s="2"/>
      <c r="J166" s="21"/>
      <c r="K166" s="22"/>
    </row>
    <row r="167">
      <c r="A167" s="18"/>
      <c r="B167" s="23" t="s">
        <v>74</v>
      </c>
      <c r="C167" s="1"/>
      <c r="D167" s="1"/>
      <c r="E167" s="1"/>
      <c r="F167" s="1"/>
      <c r="G167" s="20"/>
      <c r="H167" s="21"/>
      <c r="I167" s="2"/>
      <c r="J167" s="21"/>
      <c r="K167" s="22"/>
    </row>
    <row r="168">
      <c r="A168" s="18"/>
      <c r="B168" s="23" t="s">
        <v>75</v>
      </c>
      <c r="C168" s="1"/>
      <c r="D168" s="1"/>
      <c r="E168" s="1"/>
      <c r="F168" s="1"/>
      <c r="G168" s="20"/>
      <c r="H168" s="21"/>
      <c r="I168" s="2"/>
      <c r="J168" s="21"/>
      <c r="K168" s="22"/>
    </row>
    <row r="169">
      <c r="A169" s="18"/>
      <c r="B169" s="23" t="s">
        <v>76</v>
      </c>
      <c r="C169" s="1"/>
      <c r="D169" s="1"/>
      <c r="E169" s="1"/>
      <c r="F169" s="1"/>
      <c r="G169" s="20"/>
      <c r="H169" s="21"/>
      <c r="I169" s="2"/>
      <c r="J169" s="21"/>
      <c r="K169" s="22"/>
    </row>
    <row r="170">
      <c r="A170" s="18"/>
      <c r="B170" s="23" t="s">
        <v>77</v>
      </c>
      <c r="C170" s="1"/>
      <c r="D170" s="1"/>
      <c r="E170" s="1"/>
      <c r="F170" s="1"/>
      <c r="G170" s="20"/>
      <c r="H170" s="21"/>
      <c r="I170" s="2"/>
      <c r="J170" s="21"/>
      <c r="K170" s="22"/>
    </row>
    <row r="171">
      <c r="A171" s="18"/>
      <c r="B171" s="29">
        <f>N146</f>
        <v>1</v>
      </c>
      <c r="C171" s="2" t="s">
        <v>51</v>
      </c>
      <c r="D171" s="12">
        <f>P146</f>
        <v>1</v>
      </c>
      <c r="E171" s="2" t="s">
        <v>94</v>
      </c>
      <c r="F171" s="2">
        <f>R146</f>
        <v>3</v>
      </c>
      <c r="G171" s="30" t="s">
        <v>97</v>
      </c>
      <c r="H171" s="21" t="s">
        <v>60</v>
      </c>
      <c r="I171" s="2">
        <f>B171*D171*F171</f>
        <v>3</v>
      </c>
      <c r="J171" s="25">
        <v>46.009999999999998</v>
      </c>
      <c r="K171" s="26">
        <f>I171*J171</f>
        <v>138.03</v>
      </c>
      <c r="L171" s="2"/>
      <c r="M171" s="2"/>
      <c r="N171" s="2"/>
      <c r="O171" s="2"/>
      <c r="P171" s="31"/>
      <c r="Q171" s="2"/>
    </row>
    <row r="172">
      <c r="A172" s="18"/>
      <c r="B172" s="23"/>
      <c r="C172" s="1"/>
      <c r="D172" s="1"/>
      <c r="E172" s="1"/>
      <c r="F172" s="1"/>
      <c r="G172" s="20"/>
      <c r="H172" s="21"/>
      <c r="I172" s="2"/>
      <c r="J172" s="21"/>
      <c r="K172" s="22"/>
    </row>
    <row r="173">
      <c r="A173" s="18"/>
      <c r="B173" s="19"/>
      <c r="C173" s="1"/>
      <c r="D173" s="1"/>
      <c r="E173" s="1"/>
      <c r="F173" s="1"/>
      <c r="G173" s="20"/>
      <c r="H173" s="21"/>
      <c r="I173" s="2"/>
      <c r="J173" s="21"/>
      <c r="K173" s="22"/>
    </row>
    <row r="174">
      <c r="A174" s="18"/>
      <c r="B174" s="23"/>
      <c r="C174" s="1"/>
      <c r="D174" s="1"/>
      <c r="E174" s="1"/>
      <c r="F174" s="1"/>
      <c r="G174" s="20"/>
      <c r="H174" s="21"/>
      <c r="I174" s="2"/>
      <c r="J174" s="21"/>
      <c r="K174" s="22"/>
    </row>
    <row r="175">
      <c r="A175" s="18"/>
      <c r="B175" s="23"/>
      <c r="C175" s="1"/>
      <c r="D175" s="1"/>
      <c r="E175" s="1"/>
      <c r="F175" s="1"/>
      <c r="G175" s="20"/>
      <c r="H175" s="21"/>
      <c r="I175" s="2"/>
      <c r="J175" s="21"/>
      <c r="K175" s="22"/>
    </row>
    <row r="176">
      <c r="A176" s="18"/>
      <c r="B176" s="23"/>
      <c r="C176" s="1"/>
      <c r="D176" s="1"/>
      <c r="E176" s="1"/>
      <c r="F176" s="1"/>
      <c r="G176" s="20"/>
      <c r="H176" s="21"/>
      <c r="I176" s="2"/>
      <c r="J176" s="25"/>
      <c r="K176" s="26"/>
    </row>
    <row r="177">
      <c r="A177" s="18"/>
      <c r="B177" s="23"/>
      <c r="C177" s="1"/>
      <c r="D177" s="1"/>
      <c r="E177" s="1"/>
      <c r="F177" s="1"/>
      <c r="G177" s="20"/>
      <c r="H177" s="21"/>
      <c r="I177" s="2"/>
      <c r="J177" s="21"/>
      <c r="K177" s="22"/>
    </row>
    <row r="178">
      <c r="A178" s="18"/>
      <c r="B178" s="19"/>
      <c r="C178" s="1"/>
      <c r="D178" s="1"/>
      <c r="E178" s="1"/>
      <c r="F178" s="1"/>
      <c r="G178" s="20"/>
      <c r="H178" s="21"/>
      <c r="I178" s="2"/>
      <c r="J178" s="21"/>
      <c r="K178" s="22"/>
    </row>
    <row r="179">
      <c r="A179" s="18"/>
      <c r="B179" s="23"/>
      <c r="C179" s="1"/>
      <c r="D179" s="1"/>
      <c r="E179" s="1"/>
      <c r="F179" s="1"/>
      <c r="G179" s="20"/>
      <c r="H179" s="21"/>
      <c r="I179" s="2"/>
      <c r="J179" s="21"/>
      <c r="K179" s="22"/>
    </row>
    <row r="180">
      <c r="A180" s="18"/>
      <c r="B180" s="23"/>
      <c r="C180" s="1"/>
      <c r="D180" s="1"/>
      <c r="E180" s="1"/>
      <c r="F180" s="1"/>
      <c r="G180" s="20"/>
      <c r="H180" s="21"/>
      <c r="I180" s="2"/>
      <c r="J180" s="21"/>
      <c r="K180" s="22"/>
    </row>
    <row r="181">
      <c r="A181" s="18"/>
      <c r="B181" s="23"/>
      <c r="C181" s="1"/>
      <c r="D181" s="1"/>
      <c r="E181" s="1"/>
      <c r="F181" s="1"/>
      <c r="G181" s="20"/>
      <c r="H181" s="21"/>
      <c r="I181" s="2"/>
      <c r="J181" s="25"/>
      <c r="K181" s="26"/>
    </row>
    <row r="182">
      <c r="A182" s="18"/>
      <c r="B182" s="24"/>
      <c r="C182" s="1"/>
      <c r="D182" s="1"/>
      <c r="E182" s="1"/>
      <c r="F182" s="1"/>
      <c r="G182" s="20"/>
      <c r="H182" s="21"/>
      <c r="I182" s="2"/>
      <c r="J182" s="25"/>
      <c r="K182" s="26"/>
    </row>
    <row r="183">
      <c r="A183" s="18"/>
      <c r="B183" s="19"/>
      <c r="C183" s="1"/>
      <c r="D183" s="1"/>
      <c r="E183" s="1"/>
      <c r="F183" s="1"/>
      <c r="G183" s="20"/>
      <c r="H183" s="21"/>
      <c r="I183" s="2"/>
      <c r="J183" s="25"/>
      <c r="K183" s="26"/>
    </row>
    <row r="184">
      <c r="A184" s="18"/>
      <c r="B184" s="23"/>
      <c r="C184" s="1"/>
      <c r="D184" s="1"/>
      <c r="E184" s="1"/>
      <c r="F184" s="1"/>
      <c r="G184" s="20"/>
      <c r="H184" s="21"/>
      <c r="I184" s="2"/>
      <c r="J184" s="25"/>
      <c r="K184" s="26"/>
    </row>
    <row r="185">
      <c r="A185" s="18"/>
      <c r="B185" s="23"/>
      <c r="C185" s="1"/>
      <c r="D185" s="1"/>
      <c r="E185" s="1"/>
      <c r="F185" s="1"/>
      <c r="G185" s="20"/>
      <c r="H185" s="21"/>
      <c r="I185" s="2"/>
      <c r="J185" s="25"/>
      <c r="K185" s="26"/>
    </row>
    <row r="186">
      <c r="A186" s="18"/>
      <c r="B186" s="24"/>
      <c r="C186" s="1"/>
      <c r="D186" s="1"/>
      <c r="E186" s="1"/>
      <c r="F186" s="1"/>
      <c r="G186" s="20"/>
      <c r="H186" s="21"/>
      <c r="I186" s="2"/>
      <c r="J186" s="25"/>
      <c r="K186" s="26"/>
    </row>
    <row r="187">
      <c r="A187" s="18"/>
      <c r="B187" s="24"/>
      <c r="C187" s="1"/>
      <c r="D187" s="1"/>
      <c r="E187" s="1"/>
      <c r="F187" s="1"/>
      <c r="G187" s="20"/>
      <c r="H187" s="21"/>
      <c r="I187" s="2"/>
      <c r="J187" s="25"/>
      <c r="K187" s="26"/>
    </row>
    <row r="188">
      <c r="A188" s="18"/>
      <c r="B188" s="24"/>
      <c r="C188" s="1"/>
      <c r="D188" s="1"/>
      <c r="E188" s="1"/>
      <c r="F188" s="1"/>
      <c r="G188" s="20"/>
      <c r="H188" s="21"/>
      <c r="I188" s="2"/>
      <c r="J188" s="25"/>
      <c r="K188" s="26"/>
    </row>
    <row r="189">
      <c r="A189" s="18"/>
      <c r="B189" s="24"/>
      <c r="C189" s="1"/>
      <c r="D189" s="1"/>
      <c r="E189" s="1"/>
      <c r="F189" s="1"/>
      <c r="G189" s="20"/>
      <c r="H189" s="21"/>
      <c r="I189" s="2"/>
      <c r="J189" s="25"/>
      <c r="K189" s="26"/>
    </row>
    <row r="190">
      <c r="A190" s="18"/>
      <c r="B190" s="24"/>
      <c r="C190" s="1"/>
      <c r="D190" s="1"/>
      <c r="E190" s="1"/>
      <c r="F190" s="1"/>
      <c r="G190" s="20"/>
      <c r="H190" s="21"/>
      <c r="I190" s="2"/>
      <c r="J190" s="25"/>
      <c r="K190" s="26"/>
    </row>
    <row r="191">
      <c r="A191" s="18"/>
      <c r="B191" s="24"/>
      <c r="C191" s="1"/>
      <c r="D191" s="1"/>
      <c r="E191" s="1"/>
      <c r="F191" s="1"/>
      <c r="G191" s="20"/>
      <c r="H191" s="21"/>
      <c r="I191" s="2"/>
      <c r="J191" s="25"/>
      <c r="K191" s="26"/>
    </row>
    <row r="192">
      <c r="A192" s="18"/>
      <c r="B192" s="24"/>
      <c r="C192" s="1"/>
      <c r="D192" s="1"/>
      <c r="E192" s="1"/>
      <c r="F192" s="1"/>
      <c r="G192" s="20"/>
      <c r="H192" s="21"/>
      <c r="I192" s="2"/>
      <c r="J192" s="25"/>
      <c r="K192" s="26"/>
    </row>
    <row r="193">
      <c r="A193" s="18"/>
      <c r="B193" s="24"/>
      <c r="C193" s="1"/>
      <c r="D193" s="1"/>
      <c r="E193" s="1"/>
      <c r="F193" s="1"/>
      <c r="G193" s="20"/>
      <c r="H193" s="21"/>
      <c r="I193" s="2"/>
      <c r="J193" s="25"/>
      <c r="K193" s="26"/>
    </row>
    <row r="194">
      <c r="A194" s="18"/>
      <c r="B194" s="24"/>
      <c r="C194" s="1"/>
      <c r="D194" s="1"/>
      <c r="E194" s="1"/>
      <c r="F194" s="1"/>
      <c r="G194" s="20"/>
      <c r="H194" s="21"/>
      <c r="I194" s="2"/>
      <c r="J194" s="25"/>
      <c r="K194" s="26"/>
    </row>
    <row r="195">
      <c r="A195" s="18"/>
      <c r="B195" s="24"/>
      <c r="C195" s="1"/>
      <c r="D195" s="1"/>
      <c r="E195" s="1"/>
      <c r="F195" s="1"/>
      <c r="G195" s="20"/>
      <c r="H195" s="21"/>
      <c r="I195" s="2"/>
      <c r="J195" s="25"/>
      <c r="K195" s="26"/>
    </row>
    <row r="196">
      <c r="A196" s="18"/>
      <c r="B196" s="24"/>
      <c r="C196" s="1"/>
      <c r="D196" s="1"/>
      <c r="E196" s="1"/>
      <c r="F196" s="1"/>
      <c r="G196" s="20"/>
      <c r="H196" s="21"/>
      <c r="I196" s="2"/>
      <c r="J196" s="25"/>
      <c r="K196" s="26"/>
    </row>
    <row r="197">
      <c r="A197" s="18"/>
      <c r="B197" s="24"/>
      <c r="C197" s="1"/>
      <c r="D197" s="1"/>
      <c r="E197" s="1"/>
      <c r="F197" s="1"/>
      <c r="G197" s="20"/>
      <c r="H197" s="21"/>
      <c r="I197" s="2"/>
      <c r="J197" s="25"/>
      <c r="K197" s="26"/>
    </row>
    <row r="198">
      <c r="A198" s="18"/>
      <c r="B198" s="24"/>
      <c r="C198" s="1"/>
      <c r="D198" s="1"/>
      <c r="E198" s="1"/>
      <c r="F198" s="1"/>
      <c r="G198" s="20"/>
      <c r="H198" s="21"/>
      <c r="I198" s="2"/>
      <c r="J198" s="25"/>
      <c r="K198" s="26"/>
    </row>
    <row r="199">
      <c r="A199" s="18"/>
      <c r="B199" s="24"/>
      <c r="C199" s="1"/>
      <c r="D199" s="1"/>
      <c r="E199" s="1"/>
      <c r="F199" s="1"/>
      <c r="G199" s="20"/>
      <c r="H199" s="21"/>
      <c r="I199" s="2"/>
      <c r="J199" s="25"/>
      <c r="K199" s="26"/>
    </row>
    <row r="200">
      <c r="A200" s="18"/>
      <c r="B200" s="24"/>
      <c r="C200" s="1"/>
      <c r="D200" s="1"/>
      <c r="E200" s="1"/>
      <c r="F200" s="1"/>
      <c r="G200" s="20"/>
      <c r="H200" s="21"/>
      <c r="I200" s="2"/>
      <c r="J200" s="25"/>
      <c r="K200" s="26"/>
    </row>
    <row r="201">
      <c r="A201" s="18"/>
      <c r="B201" s="24"/>
      <c r="C201" s="1"/>
      <c r="D201" s="1"/>
      <c r="E201" s="1"/>
      <c r="F201" s="1"/>
      <c r="G201" s="20"/>
      <c r="H201" s="21"/>
      <c r="I201" s="2"/>
      <c r="J201" s="25"/>
      <c r="K201" s="26"/>
    </row>
    <row r="202">
      <c r="A202" s="18"/>
      <c r="B202" s="24"/>
      <c r="C202" s="1"/>
      <c r="D202" s="1"/>
      <c r="E202" s="1"/>
      <c r="F202" s="1"/>
      <c r="G202" s="20"/>
      <c r="H202" s="21"/>
      <c r="I202" s="2"/>
      <c r="J202" s="25"/>
      <c r="K202" s="26"/>
    </row>
    <row r="203">
      <c r="A203" s="18"/>
      <c r="B203" s="24"/>
      <c r="C203" s="1"/>
      <c r="D203" s="1"/>
      <c r="E203" s="1"/>
      <c r="F203" s="1"/>
      <c r="G203" s="20"/>
      <c r="H203" s="21"/>
      <c r="I203" s="2"/>
      <c r="J203" s="25"/>
      <c r="K203" s="26"/>
    </row>
    <row r="204">
      <c r="A204" s="18"/>
      <c r="B204" s="24"/>
      <c r="C204" s="1"/>
      <c r="D204" s="1"/>
      <c r="E204" s="1"/>
      <c r="F204" s="1"/>
      <c r="G204" s="20"/>
      <c r="H204" s="21"/>
      <c r="I204" s="2"/>
      <c r="J204" s="25"/>
      <c r="K204" s="26"/>
    </row>
    <row r="205">
      <c r="A205" s="18"/>
      <c r="B205" s="24"/>
      <c r="C205" s="1"/>
      <c r="D205" s="1"/>
      <c r="E205" s="1"/>
      <c r="F205" s="1"/>
      <c r="G205" s="20"/>
      <c r="H205" s="21"/>
      <c r="I205" s="2"/>
      <c r="J205" s="25"/>
      <c r="K205" s="26"/>
    </row>
    <row r="206">
      <c r="A206" s="18"/>
      <c r="B206" s="24"/>
      <c r="C206" s="1"/>
      <c r="D206" s="1"/>
      <c r="E206" s="1"/>
      <c r="F206" s="1"/>
      <c r="G206" s="20"/>
      <c r="H206" s="21"/>
      <c r="I206" s="2"/>
      <c r="J206" s="25"/>
      <c r="K206" s="26"/>
    </row>
    <row r="207">
      <c r="A207" s="18"/>
      <c r="B207" s="24"/>
      <c r="C207" s="1"/>
      <c r="D207" s="1"/>
      <c r="E207" s="1"/>
      <c r="F207" s="1"/>
      <c r="G207" s="20"/>
      <c r="H207" s="21"/>
      <c r="I207" s="2"/>
      <c r="J207" s="25"/>
      <c r="K207" s="26"/>
    </row>
    <row r="208">
      <c r="A208" s="18"/>
      <c r="B208" s="24"/>
      <c r="C208" s="1"/>
      <c r="D208" s="1"/>
      <c r="E208" s="1"/>
      <c r="F208" s="1"/>
      <c r="G208" s="20"/>
      <c r="H208" s="21"/>
      <c r="I208" s="2"/>
      <c r="J208" s="25"/>
      <c r="K208" s="26"/>
    </row>
    <row r="209">
      <c r="A209" s="18"/>
      <c r="B209" s="24"/>
      <c r="C209" s="1"/>
      <c r="D209" s="1"/>
      <c r="E209" s="1"/>
      <c r="F209" s="1"/>
      <c r="G209" s="20"/>
      <c r="H209" s="21"/>
      <c r="I209" s="2"/>
      <c r="J209" s="25"/>
      <c r="K209" s="26"/>
    </row>
    <row r="210">
      <c r="A210" s="18"/>
      <c r="B210" s="24"/>
      <c r="C210" s="1"/>
      <c r="D210" s="1"/>
      <c r="E210" s="1"/>
      <c r="F210" s="1"/>
      <c r="G210" s="20"/>
      <c r="H210" s="21"/>
      <c r="I210" s="2"/>
      <c r="J210" s="25"/>
      <c r="K210" s="26"/>
    </row>
    <row r="211">
      <c r="A211" s="18"/>
      <c r="B211" s="23"/>
      <c r="C211" s="1"/>
      <c r="D211" s="1"/>
      <c r="E211" s="1"/>
      <c r="F211" s="1"/>
      <c r="G211" s="20"/>
      <c r="H211" s="21"/>
      <c r="I211" s="2"/>
      <c r="J211" s="25"/>
      <c r="K211" s="26"/>
    </row>
    <row r="212" ht="12">
      <c r="A212" s="18"/>
      <c r="B212" s="23"/>
      <c r="C212" s="1"/>
      <c r="D212" s="1"/>
      <c r="E212" s="1"/>
      <c r="F212" s="1"/>
      <c r="G212" s="20"/>
      <c r="H212" s="21"/>
      <c r="I212" s="2"/>
      <c r="J212" s="25"/>
      <c r="K212" s="26"/>
    </row>
    <row r="213" ht="12">
      <c r="A213" s="6" t="s">
        <v>42</v>
      </c>
      <c r="B213" s="7"/>
      <c r="C213" s="7"/>
      <c r="D213" s="7"/>
      <c r="E213" s="7"/>
      <c r="F213" s="7"/>
      <c r="G213" s="7"/>
      <c r="H213" s="7"/>
      <c r="I213" s="7"/>
      <c r="J213" s="8"/>
      <c r="K213" s="27">
        <f>SUM(K145:K212)</f>
        <v>763.16999999999996</v>
      </c>
    </row>
    <row r="214">
      <c r="A214" s="2"/>
      <c r="B214" s="1"/>
      <c r="C214" s="1"/>
      <c r="D214" s="1"/>
      <c r="E214" s="1"/>
      <c r="F214" s="1"/>
      <c r="G214" s="1"/>
      <c r="H214" s="2"/>
      <c r="I214" s="2"/>
      <c r="J214" s="2"/>
      <c r="K214" s="2"/>
    </row>
    <row r="215">
      <c r="A215" s="2"/>
      <c r="B215" s="1"/>
      <c r="C215" s="1"/>
      <c r="D215" s="1"/>
      <c r="E215" s="1"/>
      <c r="F215" s="1"/>
      <c r="G215" s="1"/>
      <c r="H215" s="2"/>
      <c r="I215" s="2"/>
      <c r="J215" s="2"/>
      <c r="K215" s="2"/>
    </row>
    <row r="216" ht="12">
      <c r="A216" s="2"/>
      <c r="B216" s="1"/>
      <c r="C216" s="1"/>
      <c r="D216" s="1"/>
      <c r="E216" s="1"/>
      <c r="F216" s="1"/>
      <c r="G216" s="1"/>
      <c r="H216" s="2"/>
      <c r="I216" s="2"/>
      <c r="J216" s="2"/>
      <c r="K216" s="2"/>
    </row>
    <row r="217" ht="34.5">
      <c r="A217" s="13" t="s">
        <v>7</v>
      </c>
      <c r="B217" s="14" t="s">
        <v>8</v>
      </c>
      <c r="C217" s="15"/>
      <c r="D217" s="15"/>
      <c r="E217" s="15"/>
      <c r="F217" s="15"/>
      <c r="G217" s="16"/>
      <c r="H217" s="13" t="s">
        <v>9</v>
      </c>
      <c r="I217" s="17" t="s">
        <v>10</v>
      </c>
      <c r="J217" s="13" t="s">
        <v>11</v>
      </c>
      <c r="K217" s="13" t="s">
        <v>12</v>
      </c>
    </row>
    <row r="218" ht="12">
      <c r="A218" s="18"/>
      <c r="B218" s="19" t="s">
        <v>101</v>
      </c>
      <c r="C218" s="1"/>
      <c r="D218" s="1"/>
      <c r="E218" s="1"/>
      <c r="F218" s="1"/>
      <c r="G218" s="20"/>
      <c r="H218" s="21"/>
      <c r="I218" s="2"/>
      <c r="J218" s="21"/>
      <c r="K218" s="22"/>
    </row>
    <row r="219" ht="15.75" customHeight="1">
      <c r="A219" s="18"/>
      <c r="B219" s="24" t="str">
        <f>E4</f>
        <v xml:space="preserve">JALAN 3 TAMAN GREENWOOD</v>
      </c>
      <c r="C219" s="1"/>
      <c r="D219" s="1"/>
      <c r="E219" s="1"/>
      <c r="F219" s="1"/>
      <c r="G219" s="20"/>
      <c r="H219" s="21"/>
      <c r="I219" s="2"/>
      <c r="J219" s="21"/>
      <c r="K219" s="22"/>
      <c r="M219" s="6" t="s">
        <v>44</v>
      </c>
      <c r="N219" s="8"/>
      <c r="O219" s="6" t="s">
        <v>45</v>
      </c>
      <c r="P219" s="8"/>
      <c r="Q219" s="28" t="s">
        <v>46</v>
      </c>
    </row>
    <row r="220" ht="12">
      <c r="A220" s="18"/>
      <c r="B220" s="24"/>
      <c r="C220" s="1"/>
      <c r="D220" s="1"/>
      <c r="E220" s="1"/>
      <c r="F220" s="1"/>
      <c r="G220" s="20"/>
      <c r="H220" s="21"/>
      <c r="I220" s="2"/>
      <c r="J220" s="21"/>
      <c r="K220" s="22"/>
      <c r="M220" s="6">
        <v>10</v>
      </c>
      <c r="N220" s="8"/>
      <c r="O220" s="6">
        <v>0.5</v>
      </c>
      <c r="P220" s="8"/>
      <c r="Q220" s="28">
        <v>1.2</v>
      </c>
    </row>
    <row r="221">
      <c r="A221" s="18" t="s">
        <v>15</v>
      </c>
      <c r="B221" s="19" t="s">
        <v>47</v>
      </c>
      <c r="C221" s="1"/>
      <c r="D221" s="1"/>
      <c r="E221" s="1"/>
      <c r="F221" s="1"/>
      <c r="G221" s="20"/>
      <c r="H221" s="21"/>
      <c r="I221" s="2"/>
      <c r="J221" s="21"/>
      <c r="K221" s="22"/>
    </row>
    <row r="222">
      <c r="A222" s="18"/>
      <c r="B222" s="23" t="s">
        <v>48</v>
      </c>
      <c r="C222" s="1"/>
      <c r="D222" s="1"/>
      <c r="E222" s="1"/>
      <c r="F222" s="1"/>
      <c r="G222" s="20"/>
      <c r="H222" s="21"/>
      <c r="I222" s="2"/>
      <c r="J222" s="21"/>
      <c r="K222" s="22"/>
    </row>
    <row r="223">
      <c r="A223" s="18"/>
      <c r="B223" s="23" t="s">
        <v>49</v>
      </c>
      <c r="C223" s="1"/>
      <c r="D223" s="1"/>
      <c r="E223" s="1"/>
      <c r="F223" s="1"/>
      <c r="G223" s="20"/>
      <c r="H223" s="21"/>
      <c r="I223" s="2"/>
      <c r="J223" s="21"/>
      <c r="K223" s="22"/>
    </row>
    <row r="224">
      <c r="A224" s="18"/>
      <c r="B224" s="23" t="s">
        <v>50</v>
      </c>
      <c r="C224" s="1"/>
      <c r="D224" s="1"/>
      <c r="E224" s="1"/>
      <c r="F224" s="1"/>
      <c r="G224" s="20"/>
      <c r="H224" s="21"/>
      <c r="I224" s="2"/>
      <c r="J224" s="21"/>
      <c r="K224" s="22"/>
    </row>
    <row r="225">
      <c r="A225" s="18"/>
      <c r="B225" s="29">
        <f>M220</f>
        <v>10</v>
      </c>
      <c r="C225" s="2" t="s">
        <v>51</v>
      </c>
      <c r="D225" s="12">
        <f>O220+0.1</f>
        <v>0.59999999999999998</v>
      </c>
      <c r="E225" s="2" t="s">
        <v>52</v>
      </c>
      <c r="F225" s="2">
        <f>Q220+0.1</f>
        <v>1.3</v>
      </c>
      <c r="G225" s="30" t="s">
        <v>53</v>
      </c>
      <c r="H225" s="21" t="s">
        <v>54</v>
      </c>
      <c r="I225" s="2">
        <f>B225*D225*F225</f>
        <v>7.8000000000000007</v>
      </c>
      <c r="J225" s="25">
        <v>53.399999999999999</v>
      </c>
      <c r="K225" s="26">
        <f>I225*J225</f>
        <v>416.52000000000004</v>
      </c>
      <c r="L225" s="2"/>
      <c r="M225" s="2"/>
      <c r="N225" s="2"/>
      <c r="O225" s="2"/>
      <c r="P225" s="31"/>
      <c r="Q225" s="2"/>
    </row>
    <row r="226">
      <c r="A226" s="18"/>
      <c r="B226" s="23"/>
      <c r="C226" s="1"/>
      <c r="D226" s="1"/>
      <c r="E226" s="1"/>
      <c r="F226" s="1"/>
      <c r="G226" s="20"/>
      <c r="H226" s="21"/>
      <c r="I226" s="2"/>
      <c r="J226" s="21"/>
      <c r="K226" s="22"/>
    </row>
    <row r="227">
      <c r="A227" s="18" t="s">
        <v>31</v>
      </c>
      <c r="B227" s="19" t="s">
        <v>55</v>
      </c>
      <c r="C227" s="1"/>
      <c r="D227" s="1"/>
      <c r="E227" s="1"/>
      <c r="F227" s="1"/>
      <c r="G227" s="20"/>
      <c r="H227" s="21"/>
      <c r="I227" s="2"/>
      <c r="J227" s="21"/>
      <c r="K227" s="22"/>
    </row>
    <row r="228">
      <c r="A228" s="18"/>
      <c r="B228" s="23" t="s">
        <v>56</v>
      </c>
      <c r="C228" s="1"/>
      <c r="D228" s="1"/>
      <c r="E228" s="1"/>
      <c r="F228" s="1"/>
      <c r="G228" s="20"/>
      <c r="H228" s="21"/>
      <c r="I228" s="2"/>
      <c r="J228" s="21"/>
      <c r="K228" s="22"/>
    </row>
    <row r="229">
      <c r="A229" s="18"/>
      <c r="B229" s="23" t="s">
        <v>57</v>
      </c>
      <c r="C229" s="1"/>
      <c r="D229" s="1"/>
      <c r="E229" s="1"/>
      <c r="F229" s="1"/>
      <c r="G229" s="20"/>
      <c r="H229" s="21"/>
      <c r="I229" s="2"/>
      <c r="J229" s="21"/>
      <c r="K229" s="22"/>
    </row>
    <row r="230">
      <c r="A230" s="18"/>
      <c r="B230" s="23" t="s">
        <v>58</v>
      </c>
      <c r="C230" s="1"/>
      <c r="D230" s="1"/>
      <c r="E230" s="1"/>
      <c r="F230" s="1"/>
      <c r="G230" s="20"/>
      <c r="H230" s="21"/>
      <c r="I230" s="2"/>
      <c r="J230" s="25"/>
      <c r="K230" s="26"/>
    </row>
    <row r="231">
      <c r="A231" s="18"/>
      <c r="B231" s="29">
        <f>M220</f>
        <v>10</v>
      </c>
      <c r="C231" s="2" t="s">
        <v>51</v>
      </c>
      <c r="D231" s="12">
        <f>O220</f>
        <v>0.5</v>
      </c>
      <c r="E231" s="2" t="s">
        <v>59</v>
      </c>
      <c r="F231" s="1"/>
      <c r="G231" s="20"/>
      <c r="H231" s="21" t="s">
        <v>60</v>
      </c>
      <c r="I231" s="2">
        <f>B231*D231</f>
        <v>5</v>
      </c>
      <c r="J231" s="25">
        <v>27.350000000000001</v>
      </c>
      <c r="K231" s="26">
        <f>I231*J231</f>
        <v>136.75</v>
      </c>
      <c r="L231" s="2"/>
      <c r="M231" s="2"/>
      <c r="N231" s="2"/>
      <c r="O231" s="2"/>
      <c r="P231" s="31"/>
      <c r="Q231" s="2"/>
    </row>
    <row r="232">
      <c r="A232" s="18"/>
      <c r="B232" s="29"/>
      <c r="C232" s="2"/>
      <c r="D232" s="12"/>
      <c r="E232" s="2"/>
      <c r="F232" s="1"/>
      <c r="G232" s="20"/>
      <c r="H232" s="21"/>
      <c r="I232" s="2"/>
      <c r="J232" s="25"/>
      <c r="K232" s="26"/>
      <c r="L232" s="2"/>
      <c r="M232" s="2"/>
      <c r="N232" s="2"/>
      <c r="O232" s="2"/>
      <c r="P232" s="31"/>
      <c r="Q232" s="2"/>
    </row>
    <row r="233">
      <c r="A233" s="18" t="s">
        <v>39</v>
      </c>
      <c r="B233" s="19" t="s">
        <v>61</v>
      </c>
      <c r="C233" s="1"/>
      <c r="D233" s="1"/>
      <c r="E233" s="1"/>
      <c r="F233" s="1"/>
      <c r="G233" s="20"/>
      <c r="H233" s="21"/>
      <c r="I233" s="2"/>
      <c r="J233" s="21"/>
      <c r="K233" s="22"/>
    </row>
    <row r="234">
      <c r="A234" s="18"/>
      <c r="B234" s="23" t="s">
        <v>62</v>
      </c>
      <c r="C234" s="1"/>
      <c r="D234" s="1"/>
      <c r="E234" s="1"/>
      <c r="F234" s="1"/>
      <c r="G234" s="20"/>
      <c r="H234" s="21"/>
      <c r="I234" s="2"/>
      <c r="J234" s="21"/>
      <c r="K234" s="22"/>
    </row>
    <row r="235">
      <c r="A235" s="18"/>
      <c r="B235" s="23" t="s">
        <v>63</v>
      </c>
      <c r="C235" s="1"/>
      <c r="D235" s="1"/>
      <c r="E235" s="1"/>
      <c r="F235" s="1"/>
      <c r="G235" s="20"/>
      <c r="H235" s="21"/>
      <c r="I235" s="2"/>
      <c r="J235" s="21"/>
      <c r="K235" s="22"/>
    </row>
    <row r="236">
      <c r="A236" s="18"/>
      <c r="B236" s="23" t="s">
        <v>64</v>
      </c>
      <c r="C236" s="1"/>
      <c r="D236" s="1"/>
      <c r="E236" s="1"/>
      <c r="F236" s="1"/>
      <c r="G236" s="20"/>
      <c r="H236" s="21"/>
      <c r="I236" s="2"/>
      <c r="J236" s="21"/>
      <c r="K236" s="22"/>
    </row>
    <row r="237">
      <c r="A237" s="18"/>
      <c r="B237" s="29">
        <f>M220</f>
        <v>10</v>
      </c>
      <c r="C237" s="2" t="s">
        <v>51</v>
      </c>
      <c r="D237" s="12">
        <f>O220</f>
        <v>0.5</v>
      </c>
      <c r="E237" s="2" t="s">
        <v>59</v>
      </c>
      <c r="F237" s="1"/>
      <c r="G237" s="20"/>
      <c r="H237" s="21" t="s">
        <v>60</v>
      </c>
      <c r="I237" s="2">
        <f>B237*D237</f>
        <v>5</v>
      </c>
      <c r="J237" s="25">
        <v>30.300000000000001</v>
      </c>
      <c r="K237" s="26">
        <f t="shared" ref="K237:K257" si="2">I237*J237</f>
        <v>151.5</v>
      </c>
      <c r="L237" s="2"/>
      <c r="M237" s="2"/>
      <c r="N237" s="2"/>
      <c r="O237" s="2"/>
      <c r="P237" s="31"/>
      <c r="Q237" s="2"/>
    </row>
    <row r="238">
      <c r="A238" s="18"/>
      <c r="B238" s="29">
        <f>M220</f>
        <v>10</v>
      </c>
      <c r="C238" s="2" t="s">
        <v>51</v>
      </c>
      <c r="D238" s="12">
        <f>Q220</f>
        <v>1.2</v>
      </c>
      <c r="E238" s="2" t="s">
        <v>65</v>
      </c>
      <c r="F238" s="2">
        <v>2</v>
      </c>
      <c r="G238" s="20"/>
      <c r="H238" s="21" t="s">
        <v>60</v>
      </c>
      <c r="I238" s="2">
        <f>B238*D238*F238</f>
        <v>24</v>
      </c>
      <c r="J238" s="25">
        <v>30.300000000000001</v>
      </c>
      <c r="K238" s="26">
        <f t="shared" si="2"/>
        <v>727.20000000000005</v>
      </c>
      <c r="L238" s="2"/>
      <c r="M238" s="2"/>
      <c r="N238" s="2"/>
      <c r="O238" s="2"/>
      <c r="P238" s="31"/>
      <c r="Q238" s="2"/>
    </row>
    <row r="239">
      <c r="A239" s="18"/>
      <c r="B239" s="29"/>
      <c r="C239" s="2"/>
      <c r="D239" s="12"/>
      <c r="E239" s="2"/>
      <c r="F239" s="2"/>
      <c r="G239" s="20"/>
      <c r="H239" s="21"/>
      <c r="I239" s="2"/>
      <c r="J239" s="25"/>
      <c r="K239" s="26"/>
      <c r="L239" s="2"/>
      <c r="M239" s="2"/>
      <c r="N239" s="2"/>
      <c r="O239" s="2"/>
      <c r="P239" s="31"/>
      <c r="Q239" s="2"/>
    </row>
    <row r="240">
      <c r="A240" s="18" t="s">
        <v>66</v>
      </c>
      <c r="B240" s="32" t="s">
        <v>67</v>
      </c>
      <c r="C240" s="2"/>
      <c r="D240" s="12"/>
      <c r="E240" s="2"/>
      <c r="F240" s="1"/>
      <c r="G240" s="20"/>
      <c r="H240" s="21"/>
      <c r="I240" s="2"/>
      <c r="J240" s="25"/>
      <c r="K240" s="26"/>
      <c r="L240" s="2"/>
      <c r="M240" s="2"/>
      <c r="N240" s="2"/>
      <c r="O240" s="2"/>
      <c r="P240" s="31"/>
      <c r="Q240" s="2"/>
    </row>
    <row r="241">
      <c r="A241" s="18"/>
      <c r="B241" s="23" t="s">
        <v>68</v>
      </c>
      <c r="C241" s="1"/>
      <c r="D241" s="1"/>
      <c r="E241" s="1"/>
      <c r="F241" s="1"/>
      <c r="G241" s="20"/>
      <c r="H241" s="21"/>
      <c r="I241" s="2"/>
      <c r="J241" s="25"/>
      <c r="K241" s="26"/>
    </row>
    <row r="242">
      <c r="A242" s="18"/>
      <c r="B242" s="23" t="s">
        <v>69</v>
      </c>
      <c r="C242" s="1"/>
      <c r="D242" s="1"/>
      <c r="E242" s="1"/>
      <c r="F242" s="1"/>
      <c r="G242" s="20"/>
      <c r="H242" s="21"/>
      <c r="I242" s="2"/>
      <c r="J242" s="21"/>
      <c r="K242" s="22"/>
    </row>
    <row r="243">
      <c r="A243" s="18"/>
      <c r="B243" s="23" t="s">
        <v>70</v>
      </c>
      <c r="C243" s="1"/>
      <c r="D243" s="1"/>
      <c r="E243" s="1"/>
      <c r="F243" s="1"/>
      <c r="G243" s="20"/>
      <c r="H243" s="21"/>
      <c r="I243" s="2"/>
      <c r="J243" s="21"/>
      <c r="K243" s="22"/>
    </row>
    <row r="244">
      <c r="A244" s="18"/>
      <c r="B244" s="29">
        <f>M220</f>
        <v>10</v>
      </c>
      <c r="C244" s="2" t="s">
        <v>51</v>
      </c>
      <c r="D244" s="12">
        <f>Q220</f>
        <v>1.2</v>
      </c>
      <c r="E244" s="2" t="s">
        <v>71</v>
      </c>
      <c r="F244" s="2">
        <v>2</v>
      </c>
      <c r="G244" s="20"/>
      <c r="H244" s="21" t="s">
        <v>60</v>
      </c>
      <c r="I244" s="2">
        <f>B244*D244*F244</f>
        <v>24</v>
      </c>
      <c r="J244" s="25">
        <v>28.050000000000001</v>
      </c>
      <c r="K244" s="26">
        <f t="shared" si="2"/>
        <v>673.20000000000005</v>
      </c>
      <c r="L244" s="2"/>
      <c r="M244" s="2"/>
      <c r="N244" s="2"/>
      <c r="O244" s="2"/>
      <c r="P244" s="31"/>
      <c r="Q244" s="2"/>
    </row>
    <row r="245">
      <c r="A245" s="18"/>
      <c r="B245" s="23"/>
      <c r="C245" s="1"/>
      <c r="D245" s="1"/>
      <c r="E245" s="1"/>
      <c r="F245" s="1"/>
      <c r="G245" s="20"/>
      <c r="H245" s="21"/>
      <c r="I245" s="2"/>
      <c r="J245" s="21"/>
      <c r="K245" s="22"/>
    </row>
    <row r="246">
      <c r="A246" s="18" t="s">
        <v>72</v>
      </c>
      <c r="B246" s="19" t="s">
        <v>73</v>
      </c>
      <c r="C246" s="1"/>
      <c r="D246" s="1"/>
      <c r="E246" s="1"/>
      <c r="F246" s="1"/>
      <c r="G246" s="20"/>
      <c r="H246" s="21"/>
      <c r="I246" s="2"/>
      <c r="J246" s="21"/>
      <c r="K246" s="22"/>
    </row>
    <row r="247">
      <c r="A247" s="18"/>
      <c r="B247" s="23" t="s">
        <v>74</v>
      </c>
      <c r="C247" s="1"/>
      <c r="D247" s="1"/>
      <c r="E247" s="1"/>
      <c r="F247" s="1"/>
      <c r="G247" s="20"/>
      <c r="H247" s="21"/>
      <c r="I247" s="2"/>
      <c r="J247" s="21"/>
      <c r="K247" s="22"/>
    </row>
    <row r="248">
      <c r="A248" s="18"/>
      <c r="B248" s="23" t="s">
        <v>75</v>
      </c>
      <c r="C248" s="1"/>
      <c r="D248" s="1"/>
      <c r="E248" s="1"/>
      <c r="F248" s="1"/>
      <c r="G248" s="20"/>
      <c r="H248" s="21"/>
      <c r="I248" s="2"/>
      <c r="J248" s="21"/>
      <c r="K248" s="22"/>
    </row>
    <row r="249">
      <c r="A249" s="18"/>
      <c r="B249" s="23" t="s">
        <v>76</v>
      </c>
      <c r="C249" s="1"/>
      <c r="D249" s="1"/>
      <c r="E249" s="1"/>
      <c r="F249" s="1"/>
      <c r="G249" s="20"/>
      <c r="H249" s="21"/>
      <c r="I249" s="2"/>
      <c r="J249" s="21"/>
      <c r="K249" s="22"/>
    </row>
    <row r="250">
      <c r="A250" s="18"/>
      <c r="B250" s="23" t="s">
        <v>77</v>
      </c>
      <c r="C250" s="1"/>
      <c r="D250" s="1"/>
      <c r="E250" s="1"/>
      <c r="F250" s="1"/>
      <c r="G250" s="20"/>
      <c r="H250" s="21"/>
      <c r="I250" s="2"/>
      <c r="J250" s="21"/>
      <c r="K250" s="22"/>
    </row>
    <row r="251">
      <c r="A251" s="18"/>
      <c r="B251" s="29">
        <f>M220</f>
        <v>10</v>
      </c>
      <c r="C251" s="2" t="s">
        <v>51</v>
      </c>
      <c r="D251" s="12">
        <f>O220</f>
        <v>0.5</v>
      </c>
      <c r="E251" s="2" t="s">
        <v>59</v>
      </c>
      <c r="F251" s="1"/>
      <c r="G251" s="20"/>
      <c r="H251" s="21" t="s">
        <v>60</v>
      </c>
      <c r="I251" s="2">
        <f>B251*D251</f>
        <v>5</v>
      </c>
      <c r="J251" s="25">
        <v>46.009999999999998</v>
      </c>
      <c r="K251" s="26">
        <f t="shared" si="2"/>
        <v>230.04999999999998</v>
      </c>
      <c r="L251" s="2"/>
      <c r="M251" s="2"/>
      <c r="N251" s="2"/>
      <c r="O251" s="2"/>
      <c r="P251" s="31"/>
      <c r="Q251" s="2"/>
    </row>
    <row r="252">
      <c r="A252" s="18"/>
      <c r="B252" s="29">
        <f>M220</f>
        <v>10</v>
      </c>
      <c r="C252" s="2" t="s">
        <v>51</v>
      </c>
      <c r="D252" s="12">
        <f>Q220</f>
        <v>1.2</v>
      </c>
      <c r="E252" s="2" t="s">
        <v>71</v>
      </c>
      <c r="F252" s="2">
        <v>2</v>
      </c>
      <c r="G252" s="20"/>
      <c r="H252" s="21" t="s">
        <v>60</v>
      </c>
      <c r="I252" s="2">
        <f>B252*D252*F252</f>
        <v>24</v>
      </c>
      <c r="J252" s="25">
        <v>46.009999999999998</v>
      </c>
      <c r="K252" s="26">
        <f t="shared" si="2"/>
        <v>1104.24</v>
      </c>
      <c r="L252" s="2"/>
      <c r="M252" s="2"/>
      <c r="N252" s="2"/>
      <c r="O252" s="2"/>
      <c r="P252" s="31"/>
      <c r="Q252" s="2"/>
    </row>
    <row r="253">
      <c r="A253" s="18"/>
      <c r="B253" s="23"/>
      <c r="C253" s="1"/>
      <c r="D253" s="1"/>
      <c r="E253" s="1"/>
      <c r="F253" s="1"/>
      <c r="G253" s="20"/>
      <c r="H253" s="21"/>
      <c r="I253" s="2"/>
      <c r="J253" s="21"/>
      <c r="K253" s="22"/>
    </row>
    <row r="254">
      <c r="A254" s="18" t="s">
        <v>78</v>
      </c>
      <c r="B254" s="19" t="s">
        <v>79</v>
      </c>
      <c r="C254" s="1"/>
      <c r="D254" s="1"/>
      <c r="E254" s="1"/>
      <c r="F254" s="1"/>
      <c r="G254" s="20"/>
      <c r="H254" s="21"/>
      <c r="I254" s="2"/>
      <c r="J254" s="21"/>
      <c r="K254" s="22"/>
    </row>
    <row r="255">
      <c r="A255" s="18"/>
      <c r="B255" s="23" t="s">
        <v>80</v>
      </c>
      <c r="C255" s="1"/>
      <c r="D255" s="1"/>
      <c r="E255" s="1"/>
      <c r="F255" s="1"/>
      <c r="G255" s="20"/>
      <c r="H255" s="21"/>
      <c r="I255" s="2"/>
      <c r="J255" s="21"/>
      <c r="K255" s="22"/>
    </row>
    <row r="256">
      <c r="A256" s="18"/>
      <c r="B256" s="23" t="s">
        <v>81</v>
      </c>
      <c r="C256" s="1"/>
      <c r="D256" s="1" t="s">
        <v>82</v>
      </c>
      <c r="E256" s="1"/>
      <c r="F256" s="1"/>
      <c r="G256" s="20"/>
      <c r="H256" s="21"/>
      <c r="I256" s="2"/>
      <c r="J256" s="21"/>
      <c r="K256" s="22"/>
    </row>
    <row r="257">
      <c r="A257" s="18"/>
      <c r="B257" s="24" t="s">
        <v>83</v>
      </c>
      <c r="C257" s="1"/>
      <c r="D257" s="1"/>
      <c r="E257" s="1"/>
      <c r="F257" s="1"/>
      <c r="G257" s="20"/>
      <c r="H257" s="21" t="s">
        <v>102</v>
      </c>
      <c r="I257" s="2">
        <f>M220</f>
        <v>10</v>
      </c>
      <c r="J257" s="33">
        <v>17.699999999999999</v>
      </c>
      <c r="K257" s="26">
        <f t="shared" si="2"/>
        <v>177</v>
      </c>
    </row>
    <row r="258">
      <c r="A258" s="18"/>
      <c r="B258" s="24"/>
      <c r="C258" s="1"/>
      <c r="D258" s="1"/>
      <c r="E258" s="1"/>
      <c r="F258" s="1"/>
      <c r="G258" s="20"/>
      <c r="H258" s="21"/>
      <c r="I258" s="2"/>
      <c r="J258" s="21"/>
      <c r="K258" s="26"/>
    </row>
    <row r="259">
      <c r="A259" s="18"/>
      <c r="B259" s="24"/>
      <c r="C259" s="1"/>
      <c r="D259" s="1"/>
      <c r="E259" s="1"/>
      <c r="F259" s="1"/>
      <c r="G259" s="20"/>
      <c r="H259" s="21"/>
      <c r="I259" s="2"/>
      <c r="J259" s="25"/>
      <c r="K259" s="26"/>
    </row>
    <row r="260">
      <c r="A260" s="18" t="s">
        <v>85</v>
      </c>
      <c r="B260" s="19" t="s">
        <v>86</v>
      </c>
      <c r="C260" s="1"/>
      <c r="D260" s="1"/>
      <c r="E260" s="1"/>
      <c r="F260" s="1"/>
      <c r="G260" s="20"/>
      <c r="H260" s="21"/>
      <c r="I260" s="2"/>
      <c r="J260" s="21"/>
      <c r="K260" s="22"/>
    </row>
    <row r="261">
      <c r="A261" s="18"/>
      <c r="B261" s="23" t="s">
        <v>87</v>
      </c>
      <c r="C261" s="1"/>
      <c r="D261" s="1"/>
      <c r="E261" s="1"/>
      <c r="F261" s="1"/>
      <c r="G261" s="20"/>
      <c r="H261" s="21"/>
      <c r="I261" s="2"/>
      <c r="J261" s="21"/>
      <c r="K261" s="22"/>
    </row>
    <row r="262">
      <c r="A262" s="18"/>
      <c r="B262" s="23"/>
      <c r="C262" s="1"/>
      <c r="D262" s="1"/>
      <c r="E262" s="1"/>
      <c r="F262" s="1"/>
      <c r="G262" s="20"/>
      <c r="H262" s="21"/>
      <c r="I262" s="2"/>
      <c r="J262" s="21"/>
      <c r="K262" s="22"/>
    </row>
    <row r="263">
      <c r="A263" s="18"/>
      <c r="B263" s="24" t="s">
        <v>88</v>
      </c>
      <c r="C263" s="1"/>
      <c r="D263" s="1"/>
      <c r="E263" s="1"/>
      <c r="F263" s="1"/>
      <c r="G263" s="20"/>
      <c r="H263" s="21" t="s">
        <v>23</v>
      </c>
      <c r="I263" s="2"/>
      <c r="J263" s="25">
        <v>425</v>
      </c>
      <c r="K263" s="26">
        <f>J263</f>
        <v>425</v>
      </c>
    </row>
    <row r="264">
      <c r="A264" s="18"/>
      <c r="B264" s="24"/>
      <c r="C264" s="1"/>
      <c r="D264" s="1"/>
      <c r="E264" s="1"/>
      <c r="F264" s="1"/>
      <c r="G264" s="20"/>
      <c r="H264" s="21"/>
      <c r="I264" s="2"/>
      <c r="J264" s="25"/>
      <c r="K264" s="26"/>
    </row>
    <row r="265">
      <c r="A265" s="18"/>
      <c r="B265" s="24"/>
      <c r="C265" s="1"/>
      <c r="D265" s="1"/>
      <c r="E265" s="1"/>
      <c r="F265" s="1"/>
      <c r="G265" s="20"/>
      <c r="H265" s="21"/>
      <c r="I265" s="2"/>
      <c r="J265" s="25"/>
      <c r="K265" s="26"/>
    </row>
    <row r="266">
      <c r="A266" s="18"/>
      <c r="B266" s="24"/>
      <c r="C266" s="1"/>
      <c r="D266" s="1"/>
      <c r="E266" s="1"/>
      <c r="F266" s="1"/>
      <c r="G266" s="20"/>
      <c r="H266" s="21"/>
      <c r="I266" s="2"/>
      <c r="J266" s="25"/>
      <c r="K266" s="26"/>
    </row>
    <row r="267">
      <c r="A267" s="18"/>
      <c r="B267" s="24"/>
      <c r="C267" s="1"/>
      <c r="D267" s="1"/>
      <c r="E267" s="1"/>
      <c r="F267" s="1"/>
      <c r="G267" s="20"/>
      <c r="H267" s="21"/>
      <c r="I267" s="2"/>
      <c r="J267" s="25"/>
      <c r="K267" s="26"/>
    </row>
    <row r="268">
      <c r="A268" s="18"/>
      <c r="B268" s="24"/>
      <c r="C268" s="1"/>
      <c r="D268" s="1"/>
      <c r="E268" s="1"/>
      <c r="F268" s="1"/>
      <c r="G268" s="20"/>
      <c r="H268" s="21"/>
      <c r="I268" s="2"/>
      <c r="J268" s="25"/>
      <c r="K268" s="26"/>
    </row>
    <row r="269">
      <c r="A269" s="18"/>
      <c r="B269" s="24"/>
      <c r="C269" s="1"/>
      <c r="D269" s="1"/>
      <c r="E269" s="1"/>
      <c r="F269" s="1"/>
      <c r="G269" s="20"/>
      <c r="H269" s="21"/>
      <c r="I269" s="2"/>
      <c r="J269" s="25"/>
      <c r="K269" s="26"/>
    </row>
    <row r="270">
      <c r="A270" s="18"/>
      <c r="B270" s="24"/>
      <c r="C270" s="1"/>
      <c r="D270" s="1"/>
      <c r="E270" s="1"/>
      <c r="F270" s="1"/>
      <c r="G270" s="20"/>
      <c r="H270" s="21"/>
      <c r="I270" s="2"/>
      <c r="J270" s="25"/>
      <c r="K270" s="26"/>
    </row>
    <row r="271">
      <c r="A271" s="18"/>
      <c r="B271" s="24"/>
      <c r="C271" s="1"/>
      <c r="D271" s="1"/>
      <c r="E271" s="1"/>
      <c r="F271" s="1"/>
      <c r="G271" s="20"/>
      <c r="H271" s="21"/>
      <c r="I271" s="2"/>
      <c r="J271" s="25"/>
      <c r="K271" s="26"/>
    </row>
    <row r="272">
      <c r="A272" s="18"/>
      <c r="B272" s="24"/>
      <c r="C272" s="1"/>
      <c r="D272" s="1"/>
      <c r="E272" s="1"/>
      <c r="F272" s="1"/>
      <c r="G272" s="20"/>
      <c r="H272" s="21"/>
      <c r="I272" s="2"/>
      <c r="J272" s="25"/>
      <c r="K272" s="26"/>
    </row>
    <row r="273">
      <c r="A273" s="18"/>
      <c r="B273" s="24"/>
      <c r="C273" s="1"/>
      <c r="D273" s="1"/>
      <c r="E273" s="1"/>
      <c r="F273" s="1"/>
      <c r="G273" s="20"/>
      <c r="H273" s="21"/>
      <c r="I273" s="2"/>
      <c r="J273" s="25"/>
      <c r="K273" s="26"/>
    </row>
    <row r="274">
      <c r="A274" s="18"/>
      <c r="B274" s="24"/>
      <c r="C274" s="1"/>
      <c r="D274" s="1"/>
      <c r="E274" s="1"/>
      <c r="F274" s="1"/>
      <c r="G274" s="20"/>
      <c r="H274" s="21"/>
      <c r="I274" s="2"/>
      <c r="J274" s="25"/>
      <c r="K274" s="26"/>
    </row>
    <row r="275">
      <c r="A275" s="18"/>
      <c r="B275" s="24"/>
      <c r="C275" s="1"/>
      <c r="D275" s="1"/>
      <c r="E275" s="1"/>
      <c r="F275" s="1"/>
      <c r="G275" s="20"/>
      <c r="H275" s="21"/>
      <c r="I275" s="2"/>
      <c r="J275" s="25"/>
      <c r="K275" s="26"/>
    </row>
    <row r="276">
      <c r="A276" s="18"/>
      <c r="B276" s="24"/>
      <c r="C276" s="1"/>
      <c r="D276" s="1"/>
      <c r="E276" s="1"/>
      <c r="F276" s="1"/>
      <c r="G276" s="20"/>
      <c r="H276" s="21"/>
      <c r="I276" s="2"/>
      <c r="J276" s="25"/>
      <c r="K276" s="26"/>
    </row>
    <row r="277">
      <c r="A277" s="18"/>
      <c r="B277" s="24"/>
      <c r="C277" s="1"/>
      <c r="D277" s="1"/>
      <c r="E277" s="1"/>
      <c r="F277" s="1"/>
      <c r="G277" s="20"/>
      <c r="H277" s="21"/>
      <c r="I277" s="2"/>
      <c r="J277" s="25"/>
      <c r="K277" s="26"/>
    </row>
    <row r="278">
      <c r="A278" s="18"/>
      <c r="B278" s="24"/>
      <c r="C278" s="1"/>
      <c r="D278" s="1"/>
      <c r="E278" s="1"/>
      <c r="F278" s="1"/>
      <c r="G278" s="20"/>
      <c r="H278" s="21"/>
      <c r="I278" s="2"/>
      <c r="J278" s="25"/>
      <c r="K278" s="26"/>
    </row>
    <row r="279">
      <c r="A279" s="18"/>
      <c r="B279" s="24"/>
      <c r="C279" s="1"/>
      <c r="D279" s="1"/>
      <c r="E279" s="1"/>
      <c r="F279" s="1"/>
      <c r="G279" s="20"/>
      <c r="H279" s="21"/>
      <c r="I279" s="2"/>
      <c r="J279" s="25"/>
      <c r="K279" s="26"/>
    </row>
    <row r="280">
      <c r="A280" s="18"/>
      <c r="B280" s="24"/>
      <c r="C280" s="1"/>
      <c r="D280" s="1"/>
      <c r="E280" s="1"/>
      <c r="F280" s="1"/>
      <c r="G280" s="20"/>
      <c r="H280" s="21"/>
      <c r="I280" s="2"/>
      <c r="J280" s="25"/>
      <c r="K280" s="26"/>
    </row>
    <row r="281">
      <c r="A281" s="18"/>
      <c r="B281" s="24"/>
      <c r="C281" s="1"/>
      <c r="D281" s="1"/>
      <c r="E281" s="1"/>
      <c r="F281" s="1"/>
      <c r="G281" s="20"/>
      <c r="H281" s="21"/>
      <c r="I281" s="2"/>
      <c r="J281" s="25"/>
      <c r="K281" s="26"/>
    </row>
    <row r="282">
      <c r="A282" s="18"/>
      <c r="B282" s="24"/>
      <c r="C282" s="1"/>
      <c r="D282" s="1"/>
      <c r="E282" s="1"/>
      <c r="F282" s="1"/>
      <c r="G282" s="20"/>
      <c r="H282" s="21"/>
      <c r="I282" s="2"/>
      <c r="J282" s="25"/>
      <c r="K282" s="26"/>
    </row>
    <row r="283">
      <c r="A283" s="18"/>
      <c r="B283" s="24"/>
      <c r="C283" s="1"/>
      <c r="D283" s="1"/>
      <c r="E283" s="1"/>
      <c r="F283" s="1"/>
      <c r="G283" s="20"/>
      <c r="H283" s="21"/>
      <c r="I283" s="2"/>
      <c r="J283" s="25"/>
      <c r="K283" s="26"/>
    </row>
    <row r="284">
      <c r="A284" s="18"/>
      <c r="B284" s="24"/>
      <c r="C284" s="1"/>
      <c r="D284" s="1"/>
      <c r="E284" s="1"/>
      <c r="F284" s="1"/>
      <c r="G284" s="20"/>
      <c r="H284" s="21"/>
      <c r="I284" s="2"/>
      <c r="J284" s="25"/>
      <c r="K284" s="26"/>
    </row>
    <row r="285">
      <c r="A285" s="18"/>
      <c r="B285" s="23"/>
      <c r="C285" s="1"/>
      <c r="D285" s="1"/>
      <c r="E285" s="1"/>
      <c r="F285" s="1"/>
      <c r="G285" s="20"/>
      <c r="H285" s="21"/>
      <c r="I285" s="2"/>
      <c r="J285" s="25"/>
      <c r="K285" s="26"/>
    </row>
    <row r="286" ht="12">
      <c r="A286" s="18"/>
      <c r="B286" s="23"/>
      <c r="C286" s="1"/>
      <c r="D286" s="1"/>
      <c r="E286" s="1"/>
      <c r="F286" s="1"/>
      <c r="G286" s="20"/>
      <c r="H286" s="21"/>
      <c r="I286" s="2"/>
      <c r="J286" s="25"/>
      <c r="K286" s="26"/>
    </row>
    <row r="287" ht="12">
      <c r="A287" s="6" t="s">
        <v>42</v>
      </c>
      <c r="B287" s="7"/>
      <c r="C287" s="7"/>
      <c r="D287" s="7"/>
      <c r="E287" s="7"/>
      <c r="F287" s="7"/>
      <c r="G287" s="7"/>
      <c r="H287" s="7"/>
      <c r="I287" s="7"/>
      <c r="J287" s="8"/>
      <c r="K287" s="27">
        <f>SUM(K218:K286)</f>
        <v>4041.46</v>
      </c>
    </row>
    <row r="288">
      <c r="A288" s="2"/>
      <c r="B288" s="1"/>
      <c r="C288" s="1"/>
      <c r="D288" s="1"/>
      <c r="E288" s="1"/>
      <c r="F288" s="1"/>
      <c r="G288" s="1"/>
      <c r="H288" s="2"/>
      <c r="I288" s="2"/>
      <c r="J288" s="2"/>
      <c r="K288" s="2"/>
    </row>
    <row r="289">
      <c r="A289" s="2"/>
      <c r="B289" s="1"/>
      <c r="C289" s="1"/>
      <c r="D289" s="1"/>
      <c r="E289" s="1"/>
      <c r="F289" s="1"/>
      <c r="G289" s="1"/>
      <c r="H289" s="2"/>
      <c r="I289" s="2"/>
      <c r="J289" s="2"/>
      <c r="K289" s="2"/>
    </row>
    <row r="290" ht="12">
      <c r="A290" s="2"/>
      <c r="B290" s="1"/>
      <c r="C290" s="1"/>
      <c r="D290" s="1"/>
      <c r="E290" s="1"/>
      <c r="F290" s="1"/>
      <c r="G290" s="1"/>
      <c r="H290" s="2"/>
      <c r="I290" s="2"/>
      <c r="J290" s="2"/>
      <c r="K290" s="2"/>
    </row>
    <row r="291" ht="34.5">
      <c r="A291" s="13" t="s">
        <v>7</v>
      </c>
      <c r="B291" s="14" t="s">
        <v>8</v>
      </c>
      <c r="C291" s="15"/>
      <c r="D291" s="15"/>
      <c r="E291" s="15"/>
      <c r="F291" s="15"/>
      <c r="G291" s="16"/>
      <c r="H291" s="13" t="s">
        <v>9</v>
      </c>
      <c r="I291" s="17" t="s">
        <v>10</v>
      </c>
      <c r="J291" s="13" t="s">
        <v>11</v>
      </c>
      <c r="K291" s="13" t="s">
        <v>12</v>
      </c>
    </row>
    <row r="292" ht="12">
      <c r="A292" s="18"/>
      <c r="B292" s="19" t="s">
        <v>103</v>
      </c>
      <c r="C292" s="1"/>
      <c r="D292" s="1"/>
      <c r="E292" s="1"/>
      <c r="F292" s="1"/>
      <c r="G292" s="20"/>
      <c r="H292" s="21"/>
      <c r="I292" s="2"/>
      <c r="J292" s="21"/>
      <c r="K292" s="22"/>
      <c r="N292" s="6" t="s">
        <v>44</v>
      </c>
      <c r="O292" s="8"/>
      <c r="P292" s="6" t="s">
        <v>45</v>
      </c>
      <c r="Q292" s="8"/>
      <c r="R292" s="28" t="s">
        <v>7</v>
      </c>
    </row>
    <row r="293" ht="12">
      <c r="A293" s="18"/>
      <c r="B293" s="24" t="str">
        <f>B219</f>
        <v xml:space="preserve">JALAN 3 TAMAN GREENWOOD</v>
      </c>
      <c r="C293" s="1"/>
      <c r="D293" s="1"/>
      <c r="E293" s="1"/>
      <c r="F293" s="1"/>
      <c r="G293" s="20"/>
      <c r="H293" s="21"/>
      <c r="I293" s="2"/>
      <c r="J293" s="21"/>
      <c r="K293" s="22"/>
      <c r="N293" s="6">
        <v>5.5</v>
      </c>
      <c r="O293" s="8"/>
      <c r="P293" s="6">
        <v>2.3999999999999999</v>
      </c>
      <c r="Q293" s="8"/>
      <c r="R293" s="28">
        <v>1</v>
      </c>
    </row>
    <row r="294">
      <c r="A294" s="18"/>
      <c r="B294" s="24"/>
      <c r="C294" s="1"/>
      <c r="D294" s="1"/>
      <c r="E294" s="1"/>
      <c r="F294" s="1"/>
      <c r="G294" s="20"/>
      <c r="H294" s="21"/>
      <c r="I294" s="2"/>
      <c r="J294" s="21"/>
      <c r="K294" s="22"/>
    </row>
    <row r="295">
      <c r="A295" s="18" t="s">
        <v>15</v>
      </c>
      <c r="B295" s="19" t="s">
        <v>90</v>
      </c>
      <c r="C295" s="1"/>
      <c r="D295" s="1"/>
      <c r="E295" s="1"/>
      <c r="F295" s="1"/>
      <c r="G295" s="20"/>
      <c r="H295" s="21"/>
      <c r="I295" s="2"/>
      <c r="J295" s="21"/>
      <c r="K295" s="22"/>
    </row>
    <row r="296">
      <c r="A296" s="18"/>
      <c r="B296" s="23" t="s">
        <v>91</v>
      </c>
      <c r="C296" s="1"/>
      <c r="D296" s="1"/>
      <c r="E296" s="1"/>
      <c r="F296" s="1"/>
      <c r="G296" s="20"/>
      <c r="H296" s="21"/>
      <c r="I296" s="2"/>
      <c r="J296" s="21"/>
      <c r="K296" s="22"/>
    </row>
    <row r="297">
      <c r="A297" s="18"/>
      <c r="B297" s="23" t="s">
        <v>92</v>
      </c>
      <c r="C297" s="1"/>
      <c r="D297" s="1"/>
      <c r="E297" s="1"/>
      <c r="F297" s="1"/>
      <c r="G297" s="20"/>
      <c r="H297" s="21"/>
      <c r="I297" s="2"/>
      <c r="J297" s="21"/>
      <c r="K297" s="22"/>
    </row>
    <row r="298">
      <c r="A298" s="18"/>
      <c r="B298" s="23" t="s">
        <v>93</v>
      </c>
      <c r="C298" s="1"/>
      <c r="D298" s="1"/>
      <c r="E298" s="1"/>
      <c r="F298" s="1"/>
      <c r="G298" s="20"/>
      <c r="H298" s="21"/>
      <c r="I298" s="2"/>
      <c r="J298" s="21"/>
      <c r="K298" s="22"/>
    </row>
    <row r="299">
      <c r="A299" s="18"/>
      <c r="B299" s="29">
        <f>N293</f>
        <v>5.5</v>
      </c>
      <c r="C299" s="2" t="s">
        <v>51</v>
      </c>
      <c r="D299" s="12">
        <f>P293</f>
        <v>2.3999999999999999</v>
      </c>
      <c r="E299" s="2" t="s">
        <v>94</v>
      </c>
      <c r="F299" s="2">
        <v>0.10000000000000001</v>
      </c>
      <c r="G299" s="30" t="s">
        <v>53</v>
      </c>
      <c r="H299" s="21" t="s">
        <v>54</v>
      </c>
      <c r="I299" s="2">
        <f>B299*D299*F299*R293</f>
        <v>1.3200000000000001</v>
      </c>
      <c r="J299" s="25">
        <v>384.69999999999999</v>
      </c>
      <c r="K299" s="26">
        <f>I299*J299</f>
        <v>507.80400000000003</v>
      </c>
      <c r="L299" s="2"/>
      <c r="M299" s="2"/>
      <c r="N299" s="2"/>
      <c r="O299" s="2"/>
      <c r="P299" s="31"/>
      <c r="Q299" s="2"/>
    </row>
    <row r="300">
      <c r="A300" s="18"/>
      <c r="B300" s="23"/>
      <c r="C300" s="1"/>
      <c r="D300" s="1"/>
      <c r="E300" s="1"/>
      <c r="F300" s="1"/>
      <c r="G300" s="20"/>
      <c r="H300" s="21"/>
      <c r="I300" s="2"/>
      <c r="J300" s="21"/>
      <c r="K300" s="22"/>
    </row>
    <row r="301">
      <c r="A301" s="18" t="s">
        <v>31</v>
      </c>
      <c r="B301" s="19" t="s">
        <v>67</v>
      </c>
      <c r="C301" s="1"/>
      <c r="D301" s="1"/>
      <c r="E301" s="1"/>
      <c r="F301" s="1"/>
      <c r="G301" s="20"/>
      <c r="H301" s="21"/>
      <c r="I301" s="2"/>
      <c r="J301" s="21"/>
      <c r="K301" s="22"/>
    </row>
    <row r="302">
      <c r="A302" s="18"/>
      <c r="B302" s="23" t="s">
        <v>68</v>
      </c>
      <c r="C302" s="1"/>
      <c r="D302" s="1"/>
      <c r="E302" s="1"/>
      <c r="F302" s="1"/>
      <c r="G302" s="20"/>
      <c r="H302" s="21"/>
      <c r="I302" s="2"/>
      <c r="J302" s="21"/>
      <c r="K302" s="22"/>
    </row>
    <row r="303">
      <c r="A303" s="18"/>
      <c r="B303" s="23" t="s">
        <v>95</v>
      </c>
      <c r="C303" s="1"/>
      <c r="D303" s="1"/>
      <c r="E303" s="1"/>
      <c r="F303" s="1"/>
      <c r="G303" s="20"/>
      <c r="H303" s="21"/>
      <c r="I303" s="2"/>
      <c r="J303" s="21"/>
      <c r="K303" s="22"/>
    </row>
    <row r="304">
      <c r="A304" s="18"/>
      <c r="B304" s="23" t="s">
        <v>96</v>
      </c>
      <c r="C304" s="1"/>
      <c r="D304" s="1"/>
      <c r="E304" s="1"/>
      <c r="F304" s="1"/>
      <c r="G304" s="20"/>
      <c r="H304" s="21"/>
      <c r="I304" s="2"/>
      <c r="J304" s="25"/>
      <c r="K304" s="26"/>
    </row>
    <row r="305">
      <c r="A305" s="18"/>
      <c r="B305" s="29">
        <f>N293</f>
        <v>5.5</v>
      </c>
      <c r="C305" s="2" t="s">
        <v>51</v>
      </c>
      <c r="D305" s="12">
        <f>P293</f>
        <v>2.3999999999999999</v>
      </c>
      <c r="E305" s="2" t="s">
        <v>94</v>
      </c>
      <c r="F305" s="2">
        <f>R293</f>
        <v>1</v>
      </c>
      <c r="G305" s="30" t="s">
        <v>97</v>
      </c>
      <c r="H305" s="21" t="s">
        <v>60</v>
      </c>
      <c r="I305" s="2">
        <f>B305*D305*F305</f>
        <v>13.199999999999999</v>
      </c>
      <c r="J305" s="25">
        <v>68.109999999999999</v>
      </c>
      <c r="K305" s="26">
        <f>I305*J305</f>
        <v>899.05199999999991</v>
      </c>
      <c r="L305" s="2"/>
      <c r="M305" s="2"/>
      <c r="N305" s="2"/>
      <c r="O305" s="2"/>
      <c r="P305" s="31"/>
      <c r="Q305" s="2"/>
    </row>
    <row r="306">
      <c r="A306" s="18"/>
      <c r="B306" s="23"/>
      <c r="C306" s="1"/>
      <c r="D306" s="1"/>
      <c r="E306" s="1"/>
      <c r="F306" s="1"/>
      <c r="G306" s="20"/>
      <c r="H306" s="21"/>
      <c r="I306" s="2"/>
      <c r="J306" s="21"/>
      <c r="K306" s="22"/>
    </row>
    <row r="307">
      <c r="A307" s="18" t="s">
        <v>39</v>
      </c>
      <c r="B307" s="19" t="s">
        <v>61</v>
      </c>
      <c r="C307" s="1"/>
      <c r="D307" s="1"/>
      <c r="E307" s="1"/>
      <c r="F307" s="1"/>
      <c r="G307" s="20"/>
      <c r="H307" s="21"/>
      <c r="I307" s="2"/>
      <c r="J307" s="21"/>
      <c r="K307" s="22"/>
    </row>
    <row r="308">
      <c r="A308" s="18"/>
      <c r="B308" s="23" t="s">
        <v>98</v>
      </c>
      <c r="C308" s="1"/>
      <c r="D308" s="1"/>
      <c r="E308" s="1"/>
      <c r="F308" s="1"/>
      <c r="G308" s="20"/>
      <c r="H308" s="21"/>
      <c r="I308" s="2"/>
      <c r="J308" s="21"/>
      <c r="K308" s="22"/>
    </row>
    <row r="309">
      <c r="A309" s="18"/>
      <c r="B309" s="23" t="s">
        <v>99</v>
      </c>
      <c r="C309" s="1"/>
      <c r="D309" s="1"/>
      <c r="E309" s="1"/>
      <c r="F309" s="1"/>
      <c r="G309" s="20"/>
      <c r="H309" s="21"/>
      <c r="I309" s="2"/>
      <c r="J309" s="21"/>
      <c r="K309" s="22"/>
    </row>
    <row r="310">
      <c r="A310" s="18"/>
      <c r="B310" s="23" t="s">
        <v>100</v>
      </c>
      <c r="C310" s="1"/>
      <c r="D310" s="1"/>
      <c r="E310" s="1"/>
      <c r="F310" s="1"/>
      <c r="G310" s="20"/>
      <c r="H310" s="21"/>
      <c r="I310" s="2"/>
      <c r="J310" s="21"/>
      <c r="K310" s="22"/>
    </row>
    <row r="311">
      <c r="A311" s="18"/>
      <c r="B311" s="29">
        <f>N293</f>
        <v>5.5</v>
      </c>
      <c r="C311" s="2" t="s">
        <v>51</v>
      </c>
      <c r="D311" s="12">
        <f>P293</f>
        <v>2.3999999999999999</v>
      </c>
      <c r="E311" s="2" t="s">
        <v>94</v>
      </c>
      <c r="F311" s="2">
        <f>R293</f>
        <v>1</v>
      </c>
      <c r="G311" s="30" t="s">
        <v>97</v>
      </c>
      <c r="H311" s="21" t="s">
        <v>60</v>
      </c>
      <c r="I311" s="2">
        <f>B311*D311*F311</f>
        <v>13.199999999999999</v>
      </c>
      <c r="J311" s="25">
        <v>101.8</v>
      </c>
      <c r="K311" s="26">
        <f>I311*J311</f>
        <v>1343.76</v>
      </c>
      <c r="L311" s="2"/>
      <c r="M311" s="2"/>
      <c r="N311" s="2"/>
      <c r="O311" s="2"/>
      <c r="P311" s="31"/>
      <c r="Q311" s="2"/>
    </row>
    <row r="312">
      <c r="A312" s="18"/>
      <c r="B312" s="23"/>
      <c r="C312" s="1"/>
      <c r="D312" s="1"/>
      <c r="E312" s="1"/>
      <c r="F312" s="1"/>
      <c r="G312" s="20"/>
      <c r="H312" s="21"/>
      <c r="I312" s="2"/>
      <c r="J312" s="21"/>
      <c r="K312" s="22"/>
    </row>
    <row r="313">
      <c r="A313" s="18" t="s">
        <v>72</v>
      </c>
      <c r="B313" s="19" t="s">
        <v>73</v>
      </c>
      <c r="C313" s="1"/>
      <c r="D313" s="1"/>
      <c r="E313" s="1"/>
      <c r="F313" s="1"/>
      <c r="G313" s="20"/>
      <c r="H313" s="21"/>
      <c r="I313" s="2"/>
      <c r="J313" s="21"/>
      <c r="K313" s="22"/>
    </row>
    <row r="314">
      <c r="A314" s="18"/>
      <c r="B314" s="23" t="s">
        <v>74</v>
      </c>
      <c r="C314" s="1"/>
      <c r="D314" s="1"/>
      <c r="E314" s="1"/>
      <c r="F314" s="1"/>
      <c r="G314" s="20"/>
      <c r="H314" s="21"/>
      <c r="I314" s="2"/>
      <c r="J314" s="21"/>
      <c r="K314" s="22"/>
    </row>
    <row r="315">
      <c r="A315" s="18"/>
      <c r="B315" s="23" t="s">
        <v>75</v>
      </c>
      <c r="C315" s="1"/>
      <c r="D315" s="1"/>
      <c r="E315" s="1"/>
      <c r="F315" s="1"/>
      <c r="G315" s="20"/>
      <c r="H315" s="21"/>
      <c r="I315" s="2"/>
      <c r="J315" s="21"/>
      <c r="K315" s="22"/>
    </row>
    <row r="316">
      <c r="A316" s="18"/>
      <c r="B316" s="23" t="s">
        <v>76</v>
      </c>
      <c r="C316" s="1"/>
      <c r="D316" s="1"/>
      <c r="E316" s="1"/>
      <c r="F316" s="1"/>
      <c r="G316" s="20"/>
      <c r="H316" s="21"/>
      <c r="I316" s="2"/>
      <c r="J316" s="21"/>
      <c r="K316" s="22"/>
    </row>
    <row r="317">
      <c r="A317" s="18"/>
      <c r="B317" s="23" t="s">
        <v>77</v>
      </c>
      <c r="C317" s="1"/>
      <c r="D317" s="1"/>
      <c r="E317" s="1"/>
      <c r="F317" s="1"/>
      <c r="G317" s="20"/>
      <c r="H317" s="21"/>
      <c r="I317" s="2"/>
      <c r="J317" s="21"/>
      <c r="K317" s="22"/>
    </row>
    <row r="318">
      <c r="A318" s="18"/>
      <c r="B318" s="29">
        <f>N293</f>
        <v>5.5</v>
      </c>
      <c r="C318" s="2" t="s">
        <v>51</v>
      </c>
      <c r="D318" s="12">
        <f>P293</f>
        <v>2.3999999999999999</v>
      </c>
      <c r="E318" s="2" t="s">
        <v>94</v>
      </c>
      <c r="F318" s="2">
        <f>R293</f>
        <v>1</v>
      </c>
      <c r="G318" s="30" t="s">
        <v>97</v>
      </c>
      <c r="H318" s="21" t="s">
        <v>60</v>
      </c>
      <c r="I318" s="2">
        <f>B318*D318*F318</f>
        <v>13.199999999999999</v>
      </c>
      <c r="J318" s="25">
        <v>46.009999999999998</v>
      </c>
      <c r="K318" s="26">
        <f>I318*J318</f>
        <v>607.33199999999999</v>
      </c>
      <c r="L318" s="2"/>
      <c r="M318" s="2"/>
      <c r="N318" s="2"/>
      <c r="O318" s="2"/>
      <c r="P318" s="31"/>
      <c r="Q318" s="2"/>
    </row>
    <row r="319">
      <c r="A319" s="18"/>
      <c r="B319" s="23"/>
      <c r="C319" s="1"/>
      <c r="D319" s="1"/>
      <c r="E319" s="1"/>
      <c r="F319" s="1"/>
      <c r="G319" s="20"/>
      <c r="H319" s="21"/>
      <c r="I319" s="2"/>
      <c r="J319" s="21"/>
      <c r="K319" s="22"/>
    </row>
    <row r="320">
      <c r="A320" s="18" t="s">
        <v>78</v>
      </c>
      <c r="B320" s="19" t="s">
        <v>104</v>
      </c>
      <c r="C320" s="1"/>
      <c r="D320" s="1"/>
      <c r="E320" s="1"/>
      <c r="F320" s="1"/>
      <c r="G320" s="20"/>
      <c r="H320" s="21"/>
      <c r="I320" s="2"/>
      <c r="J320" s="21"/>
      <c r="K320" s="22"/>
    </row>
    <row r="321">
      <c r="A321" s="18"/>
      <c r="B321" s="23" t="s">
        <v>105</v>
      </c>
      <c r="C321" s="1"/>
      <c r="D321" s="1"/>
      <c r="E321" s="1"/>
      <c r="F321" s="1"/>
      <c r="G321" s="20"/>
      <c r="H321" s="21"/>
      <c r="I321" s="2"/>
      <c r="J321" s="21"/>
      <c r="K321" s="22"/>
    </row>
    <row r="322">
      <c r="A322" s="18"/>
      <c r="B322" s="23" t="s">
        <v>106</v>
      </c>
      <c r="C322" s="1"/>
      <c r="D322" s="1"/>
      <c r="E322" s="1"/>
      <c r="F322" s="1"/>
      <c r="G322" s="20"/>
      <c r="H322" s="21"/>
      <c r="I322" s="2"/>
      <c r="J322" s="21"/>
      <c r="K322" s="22"/>
    </row>
    <row r="323">
      <c r="A323" s="18"/>
      <c r="B323" s="23" t="s">
        <v>107</v>
      </c>
      <c r="C323" s="1"/>
      <c r="D323" s="1"/>
      <c r="E323" s="1"/>
      <c r="F323" s="1"/>
      <c r="G323" s="20"/>
      <c r="H323" s="21" t="s">
        <v>97</v>
      </c>
      <c r="I323" s="2">
        <v>2</v>
      </c>
      <c r="J323" s="25">
        <v>110.45999999999999</v>
      </c>
      <c r="K323" s="26">
        <f>I323*J323</f>
        <v>220.91999999999999</v>
      </c>
    </row>
    <row r="324">
      <c r="A324" s="18"/>
      <c r="B324" s="23"/>
      <c r="C324" s="1"/>
      <c r="D324" s="1"/>
      <c r="E324" s="1"/>
      <c r="F324" s="1"/>
      <c r="G324" s="20"/>
      <c r="H324" s="21"/>
      <c r="I324" s="2"/>
      <c r="J324" s="21"/>
      <c r="K324" s="22"/>
    </row>
    <row r="325">
      <c r="A325" s="18" t="s">
        <v>85</v>
      </c>
      <c r="B325" s="19" t="s">
        <v>108</v>
      </c>
      <c r="C325" s="1"/>
      <c r="D325" s="1"/>
      <c r="E325" s="1"/>
      <c r="F325" s="1"/>
      <c r="G325" s="20"/>
      <c r="H325" s="21"/>
      <c r="I325" s="2"/>
      <c r="J325" s="21"/>
      <c r="K325" s="22"/>
    </row>
    <row r="326">
      <c r="A326" s="18"/>
      <c r="B326" s="23" t="s">
        <v>109</v>
      </c>
      <c r="C326" s="1"/>
      <c r="D326" s="1"/>
      <c r="E326" s="1"/>
      <c r="F326" s="1"/>
      <c r="G326" s="20"/>
      <c r="H326" s="21"/>
      <c r="I326" s="2"/>
      <c r="J326" s="21"/>
      <c r="K326" s="22"/>
    </row>
    <row r="327">
      <c r="A327" s="18"/>
      <c r="B327" s="23" t="s">
        <v>110</v>
      </c>
      <c r="C327" s="1"/>
      <c r="D327" s="1"/>
      <c r="E327" s="1"/>
      <c r="F327" s="1"/>
      <c r="G327" s="20"/>
      <c r="H327" s="21"/>
      <c r="I327" s="2"/>
      <c r="J327" s="21"/>
      <c r="K327" s="22"/>
    </row>
    <row r="328">
      <c r="A328" s="18"/>
      <c r="B328" s="23" t="s">
        <v>111</v>
      </c>
      <c r="C328" s="1"/>
      <c r="D328" s="1"/>
      <c r="E328" s="1"/>
      <c r="F328" s="1"/>
      <c r="G328" s="20"/>
      <c r="H328" s="21" t="s">
        <v>97</v>
      </c>
      <c r="I328" s="2">
        <v>2</v>
      </c>
      <c r="J328" s="25">
        <v>177.65000000000001</v>
      </c>
      <c r="K328" s="26">
        <f>I328*J328</f>
        <v>355.30000000000001</v>
      </c>
    </row>
    <row r="329">
      <c r="A329" s="18"/>
      <c r="B329" s="24"/>
      <c r="C329" s="1"/>
      <c r="D329" s="1"/>
      <c r="E329" s="1"/>
      <c r="F329" s="1"/>
      <c r="G329" s="20"/>
      <c r="H329" s="21"/>
      <c r="I329" s="2"/>
      <c r="J329" s="25"/>
      <c r="K329" s="26"/>
    </row>
    <row r="330">
      <c r="A330" s="18"/>
      <c r="B330" s="19"/>
      <c r="C330" s="1"/>
      <c r="D330" s="1"/>
      <c r="E330" s="1"/>
      <c r="F330" s="1"/>
      <c r="G330" s="20"/>
      <c r="H330" s="21"/>
      <c r="I330" s="2"/>
      <c r="J330" s="25"/>
      <c r="K330" s="26"/>
    </row>
    <row r="331">
      <c r="A331" s="18"/>
      <c r="B331" s="23"/>
      <c r="C331" s="1"/>
      <c r="D331" s="1"/>
      <c r="E331" s="1"/>
      <c r="F331" s="1"/>
      <c r="G331" s="20"/>
      <c r="H331" s="21"/>
      <c r="I331" s="2"/>
      <c r="J331" s="25"/>
      <c r="K331" s="26"/>
    </row>
    <row r="332">
      <c r="A332" s="18"/>
      <c r="B332" s="23"/>
      <c r="C332" s="1"/>
      <c r="D332" s="1"/>
      <c r="E332" s="1"/>
      <c r="F332" s="1"/>
      <c r="G332" s="20"/>
      <c r="H332" s="21"/>
      <c r="I332" s="2"/>
      <c r="J332" s="25"/>
      <c r="K332" s="26"/>
    </row>
    <row r="333">
      <c r="A333" s="18"/>
      <c r="B333" s="24"/>
      <c r="C333" s="1"/>
      <c r="D333" s="1"/>
      <c r="E333" s="1"/>
      <c r="F333" s="1"/>
      <c r="G333" s="20"/>
      <c r="H333" s="21"/>
      <c r="I333" s="2"/>
      <c r="J333" s="25"/>
      <c r="K333" s="26"/>
    </row>
    <row r="334">
      <c r="A334" s="18"/>
      <c r="B334" s="24"/>
      <c r="C334" s="1"/>
      <c r="D334" s="1"/>
      <c r="E334" s="1"/>
      <c r="F334" s="1"/>
      <c r="G334" s="20"/>
      <c r="H334" s="21"/>
      <c r="I334" s="2"/>
      <c r="J334" s="25"/>
      <c r="K334" s="26"/>
    </row>
    <row r="335">
      <c r="A335" s="18"/>
      <c r="B335" s="24"/>
      <c r="C335" s="1"/>
      <c r="D335" s="1"/>
      <c r="E335" s="1"/>
      <c r="F335" s="1"/>
      <c r="G335" s="20"/>
      <c r="H335" s="21"/>
      <c r="I335" s="2"/>
      <c r="J335" s="25"/>
      <c r="K335" s="26"/>
    </row>
    <row r="336">
      <c r="A336" s="18"/>
      <c r="B336" s="24"/>
      <c r="C336" s="1"/>
      <c r="D336" s="1"/>
      <c r="E336" s="1"/>
      <c r="F336" s="1"/>
      <c r="G336" s="20"/>
      <c r="H336" s="21"/>
      <c r="I336" s="2"/>
      <c r="J336" s="25"/>
      <c r="K336" s="26"/>
    </row>
    <row r="337">
      <c r="A337" s="18"/>
      <c r="B337" s="24"/>
      <c r="C337" s="1"/>
      <c r="D337" s="1"/>
      <c r="E337" s="1"/>
      <c r="F337" s="1"/>
      <c r="G337" s="20"/>
      <c r="H337" s="21"/>
      <c r="I337" s="2"/>
      <c r="J337" s="25"/>
      <c r="K337" s="26"/>
    </row>
    <row r="338">
      <c r="A338" s="18"/>
      <c r="B338" s="24"/>
      <c r="C338" s="1"/>
      <c r="D338" s="1"/>
      <c r="E338" s="1"/>
      <c r="F338" s="1"/>
      <c r="G338" s="20"/>
      <c r="H338" s="21"/>
      <c r="I338" s="2"/>
      <c r="J338" s="25"/>
      <c r="K338" s="26"/>
    </row>
    <row r="339">
      <c r="A339" s="18"/>
      <c r="B339" s="24"/>
      <c r="C339" s="1"/>
      <c r="D339" s="1"/>
      <c r="E339" s="1"/>
      <c r="F339" s="1"/>
      <c r="G339" s="20"/>
      <c r="H339" s="21"/>
      <c r="I339" s="2"/>
      <c r="J339" s="25"/>
      <c r="K339" s="26"/>
    </row>
    <row r="340">
      <c r="A340" s="18"/>
      <c r="B340" s="24"/>
      <c r="C340" s="1"/>
      <c r="D340" s="1"/>
      <c r="E340" s="1"/>
      <c r="F340" s="1"/>
      <c r="G340" s="20"/>
      <c r="H340" s="21"/>
      <c r="I340" s="2"/>
      <c r="J340" s="25"/>
      <c r="K340" s="26"/>
    </row>
    <row r="341">
      <c r="A341" s="18"/>
      <c r="B341" s="24"/>
      <c r="C341" s="1"/>
      <c r="D341" s="1"/>
      <c r="E341" s="1"/>
      <c r="F341" s="1"/>
      <c r="G341" s="20"/>
      <c r="H341" s="21"/>
      <c r="I341" s="2"/>
      <c r="J341" s="25"/>
      <c r="K341" s="26"/>
    </row>
    <row r="342">
      <c r="A342" s="18"/>
      <c r="B342" s="24"/>
      <c r="C342" s="1"/>
      <c r="D342" s="1"/>
      <c r="E342" s="1"/>
      <c r="F342" s="1"/>
      <c r="G342" s="20"/>
      <c r="H342" s="21"/>
      <c r="I342" s="2"/>
      <c r="J342" s="25"/>
      <c r="K342" s="26"/>
    </row>
    <row r="343">
      <c r="A343" s="18"/>
      <c r="B343" s="24"/>
      <c r="C343" s="1"/>
      <c r="D343" s="1"/>
      <c r="E343" s="1"/>
      <c r="F343" s="1"/>
      <c r="G343" s="20"/>
      <c r="H343" s="21"/>
      <c r="I343" s="2"/>
      <c r="J343" s="25"/>
      <c r="K343" s="26"/>
    </row>
    <row r="344">
      <c r="A344" s="18"/>
      <c r="B344" s="24"/>
      <c r="C344" s="1"/>
      <c r="D344" s="1"/>
      <c r="E344" s="1"/>
      <c r="F344" s="1"/>
      <c r="G344" s="20"/>
      <c r="H344" s="21"/>
      <c r="I344" s="2"/>
      <c r="J344" s="25"/>
      <c r="K344" s="26"/>
    </row>
    <row r="345">
      <c r="A345" s="18"/>
      <c r="B345" s="24"/>
      <c r="C345" s="1"/>
      <c r="D345" s="1"/>
      <c r="E345" s="1"/>
      <c r="F345" s="1"/>
      <c r="G345" s="20"/>
      <c r="H345" s="21"/>
      <c r="I345" s="2"/>
      <c r="J345" s="25"/>
      <c r="K345" s="26"/>
    </row>
    <row r="346">
      <c r="A346" s="18"/>
      <c r="B346" s="24"/>
      <c r="C346" s="1"/>
      <c r="D346" s="1"/>
      <c r="E346" s="1"/>
      <c r="F346" s="1"/>
      <c r="G346" s="20"/>
      <c r="H346" s="21"/>
      <c r="I346" s="2"/>
      <c r="J346" s="25"/>
      <c r="K346" s="26"/>
    </row>
    <row r="347">
      <c r="A347" s="18"/>
      <c r="B347" s="24"/>
      <c r="C347" s="1"/>
      <c r="D347" s="1"/>
      <c r="E347" s="1"/>
      <c r="F347" s="1"/>
      <c r="G347" s="20"/>
      <c r="H347" s="21"/>
      <c r="I347" s="2"/>
      <c r="J347" s="25"/>
      <c r="K347" s="26"/>
    </row>
    <row r="348">
      <c r="A348" s="18"/>
      <c r="B348" s="24"/>
      <c r="C348" s="1"/>
      <c r="D348" s="1"/>
      <c r="E348" s="1"/>
      <c r="F348" s="1"/>
      <c r="G348" s="20"/>
      <c r="H348" s="21"/>
      <c r="I348" s="2"/>
      <c r="J348" s="25"/>
      <c r="K348" s="26"/>
    </row>
    <row r="349">
      <c r="A349" s="18"/>
      <c r="B349" s="24"/>
      <c r="C349" s="1"/>
      <c r="D349" s="1"/>
      <c r="E349" s="1"/>
      <c r="F349" s="1"/>
      <c r="G349" s="20"/>
      <c r="H349" s="21"/>
      <c r="I349" s="2"/>
      <c r="J349" s="25"/>
      <c r="K349" s="26"/>
    </row>
    <row r="350">
      <c r="A350" s="18"/>
      <c r="B350" s="24"/>
      <c r="C350" s="1"/>
      <c r="D350" s="1"/>
      <c r="E350" s="1"/>
      <c r="F350" s="1"/>
      <c r="G350" s="20"/>
      <c r="H350" s="21"/>
      <c r="I350" s="2"/>
      <c r="J350" s="25"/>
      <c r="K350" s="26"/>
    </row>
    <row r="351">
      <c r="A351" s="18"/>
      <c r="B351" s="24"/>
      <c r="C351" s="1"/>
      <c r="D351" s="1"/>
      <c r="E351" s="1"/>
      <c r="F351" s="1"/>
      <c r="G351" s="20"/>
      <c r="H351" s="21"/>
      <c r="I351" s="2"/>
      <c r="J351" s="25"/>
      <c r="K351" s="26"/>
    </row>
    <row r="352">
      <c r="A352" s="18"/>
      <c r="B352" s="24"/>
      <c r="C352" s="1"/>
      <c r="D352" s="1"/>
      <c r="E352" s="1"/>
      <c r="F352" s="1"/>
      <c r="G352" s="20"/>
      <c r="H352" s="21"/>
      <c r="I352" s="2"/>
      <c r="J352" s="25"/>
      <c r="K352" s="26"/>
    </row>
    <row r="353">
      <c r="A353" s="18"/>
      <c r="B353" s="24"/>
      <c r="C353" s="1"/>
      <c r="D353" s="1"/>
      <c r="E353" s="1"/>
      <c r="F353" s="1"/>
      <c r="G353" s="20"/>
      <c r="H353" s="21"/>
      <c r="I353" s="2"/>
      <c r="J353" s="25"/>
      <c r="K353" s="26"/>
    </row>
    <row r="354">
      <c r="A354" s="18"/>
      <c r="B354" s="24"/>
      <c r="C354" s="1"/>
      <c r="D354" s="1"/>
      <c r="E354" s="1"/>
      <c r="F354" s="1"/>
      <c r="G354" s="20"/>
      <c r="H354" s="21"/>
      <c r="I354" s="2"/>
      <c r="J354" s="25"/>
      <c r="K354" s="26"/>
    </row>
    <row r="355">
      <c r="A355" s="18"/>
      <c r="B355" s="24"/>
      <c r="C355" s="1"/>
      <c r="D355" s="1"/>
      <c r="E355" s="1"/>
      <c r="F355" s="1"/>
      <c r="G355" s="20"/>
      <c r="H355" s="21"/>
      <c r="I355" s="2"/>
      <c r="J355" s="25"/>
      <c r="K355" s="26"/>
    </row>
    <row r="356">
      <c r="A356" s="18"/>
      <c r="B356" s="24"/>
      <c r="C356" s="1"/>
      <c r="D356" s="1"/>
      <c r="E356" s="1"/>
      <c r="F356" s="1"/>
      <c r="G356" s="20"/>
      <c r="H356" s="21"/>
      <c r="I356" s="2"/>
      <c r="J356" s="25"/>
      <c r="K356" s="26"/>
    </row>
    <row r="357">
      <c r="A357" s="18"/>
      <c r="B357" s="24"/>
      <c r="C357" s="1"/>
      <c r="D357" s="1"/>
      <c r="E357" s="1"/>
      <c r="F357" s="1"/>
      <c r="G357" s="20"/>
      <c r="H357" s="21"/>
      <c r="I357" s="2"/>
      <c r="J357" s="25"/>
      <c r="K357" s="26"/>
    </row>
    <row r="358">
      <c r="A358" s="18"/>
      <c r="B358" s="23"/>
      <c r="C358" s="1"/>
      <c r="D358" s="1"/>
      <c r="E358" s="1"/>
      <c r="F358" s="1"/>
      <c r="G358" s="20"/>
      <c r="H358" s="21"/>
      <c r="I358" s="2"/>
      <c r="J358" s="25"/>
      <c r="K358" s="26"/>
    </row>
    <row r="359" ht="12">
      <c r="A359" s="18"/>
      <c r="B359" s="23"/>
      <c r="C359" s="1"/>
      <c r="D359" s="1"/>
      <c r="E359" s="1"/>
      <c r="F359" s="1"/>
      <c r="G359" s="20"/>
      <c r="H359" s="21"/>
      <c r="I359" s="2"/>
      <c r="J359" s="25"/>
      <c r="K359" s="26"/>
    </row>
    <row r="360" ht="12">
      <c r="A360" s="6" t="s">
        <v>42</v>
      </c>
      <c r="B360" s="7"/>
      <c r="C360" s="7"/>
      <c r="D360" s="7"/>
      <c r="E360" s="7"/>
      <c r="F360" s="7"/>
      <c r="G360" s="7"/>
      <c r="H360" s="7"/>
      <c r="I360" s="7"/>
      <c r="J360" s="8"/>
      <c r="K360" s="27">
        <f>SUM(K292:K359)</f>
        <v>3934.1680000000001</v>
      </c>
    </row>
    <row r="361">
      <c r="A361" s="2"/>
      <c r="B361" s="1"/>
      <c r="C361" s="1"/>
      <c r="D361" s="1"/>
      <c r="E361" s="1"/>
      <c r="F361" s="1"/>
      <c r="G361" s="1"/>
      <c r="H361" s="2"/>
      <c r="I361" s="2"/>
      <c r="J361" s="2"/>
      <c r="K361" s="2"/>
    </row>
    <row r="362">
      <c r="A362" s="2"/>
      <c r="B362" s="1"/>
      <c r="C362" s="1"/>
      <c r="D362" s="1"/>
      <c r="E362" s="1"/>
      <c r="F362" s="1"/>
      <c r="G362" s="1"/>
      <c r="H362" s="2"/>
      <c r="I362" s="2"/>
      <c r="J362" s="2"/>
      <c r="K362" s="2"/>
    </row>
    <row r="363" ht="12">
      <c r="A363" s="2"/>
      <c r="B363" s="1"/>
      <c r="C363" s="1"/>
      <c r="D363" s="1"/>
      <c r="E363" s="1"/>
      <c r="F363" s="1"/>
      <c r="G363" s="1"/>
      <c r="H363" s="2"/>
      <c r="I363" s="2"/>
      <c r="J363" s="2"/>
      <c r="K363" s="2"/>
    </row>
    <row r="364" ht="31.5">
      <c r="A364" s="34" t="s">
        <v>8</v>
      </c>
      <c r="B364" s="35"/>
      <c r="C364" s="35"/>
      <c r="D364" s="35"/>
      <c r="E364" s="35"/>
      <c r="F364" s="35"/>
      <c r="G364" s="35"/>
      <c r="H364" s="35"/>
      <c r="I364" s="35"/>
      <c r="J364" s="36"/>
      <c r="K364" s="37" t="s">
        <v>12</v>
      </c>
    </row>
    <row r="365">
      <c r="A365" s="38"/>
      <c r="B365" s="39"/>
      <c r="C365" s="1"/>
      <c r="D365" s="1"/>
      <c r="E365" s="1"/>
      <c r="F365" s="1"/>
      <c r="G365" s="1"/>
      <c r="H365" s="40"/>
      <c r="I365" s="40"/>
      <c r="J365" s="40"/>
      <c r="K365" s="41"/>
    </row>
    <row r="366">
      <c r="A366" s="38"/>
      <c r="B366" s="39" t="s">
        <v>14</v>
      </c>
      <c r="C366" s="1"/>
      <c r="D366" s="1"/>
      <c r="E366" s="1"/>
      <c r="F366" s="1"/>
      <c r="G366" s="1"/>
      <c r="H366" s="40"/>
      <c r="I366" s="40"/>
      <c r="J366" s="40"/>
      <c r="K366" s="42">
        <f>K66</f>
        <v>1840</v>
      </c>
    </row>
    <row r="367">
      <c r="A367" s="38"/>
      <c r="B367" s="2"/>
      <c r="C367" s="1"/>
      <c r="D367" s="1"/>
      <c r="E367" s="1"/>
      <c r="F367" s="1"/>
      <c r="G367" s="1"/>
      <c r="H367" s="40"/>
      <c r="I367" s="40"/>
      <c r="J367" s="40"/>
      <c r="K367" s="41"/>
    </row>
    <row r="368">
      <c r="A368" s="38"/>
      <c r="B368" s="39" t="s">
        <v>43</v>
      </c>
      <c r="C368" s="1"/>
      <c r="D368" s="1"/>
      <c r="E368" s="1"/>
      <c r="F368" s="1"/>
      <c r="G368" s="1"/>
      <c r="H368" s="40"/>
      <c r="I368" s="40"/>
      <c r="J368" s="40"/>
      <c r="K368" s="43"/>
    </row>
    <row r="369">
      <c r="A369" s="38"/>
      <c r="B369" s="2" t="str">
        <f>E3</f>
        <v xml:space="preserve">JALAN SG 6/14 </v>
      </c>
      <c r="C369" s="1"/>
      <c r="D369" s="1"/>
      <c r="E369" s="1"/>
      <c r="F369" s="1"/>
      <c r="G369" s="1"/>
      <c r="H369" s="40"/>
      <c r="I369" s="40"/>
      <c r="J369" s="40"/>
      <c r="K369" s="42">
        <f>K140</f>
        <v>5854.75</v>
      </c>
    </row>
    <row r="370">
      <c r="A370" s="38"/>
      <c r="B370" s="2"/>
      <c r="C370" s="1"/>
      <c r="D370" s="1"/>
      <c r="E370" s="1"/>
      <c r="F370" s="1"/>
      <c r="G370" s="1"/>
      <c r="H370" s="40"/>
      <c r="I370" s="40"/>
      <c r="J370" s="40"/>
      <c r="K370" s="42"/>
    </row>
    <row r="371">
      <c r="A371" s="38"/>
      <c r="B371" s="39" t="s">
        <v>89</v>
      </c>
      <c r="C371" s="1"/>
      <c r="D371" s="1"/>
      <c r="E371" s="1"/>
      <c r="F371" s="1"/>
      <c r="G371" s="1"/>
      <c r="H371" s="40"/>
      <c r="I371" s="40"/>
      <c r="J371" s="40"/>
      <c r="K371" s="42"/>
    </row>
    <row r="372">
      <c r="A372" s="38"/>
      <c r="B372" s="2" t="str">
        <f>B369</f>
        <v xml:space="preserve">JALAN SG 6/14 </v>
      </c>
      <c r="C372" s="1"/>
      <c r="D372" s="1"/>
      <c r="E372" s="1"/>
      <c r="F372" s="1"/>
      <c r="G372" s="1"/>
      <c r="H372" s="40"/>
      <c r="I372" s="40"/>
      <c r="J372" s="40"/>
      <c r="K372" s="42">
        <f>K213</f>
        <v>763.16999999999996</v>
      </c>
    </row>
    <row r="373">
      <c r="A373" s="38"/>
      <c r="B373" s="2"/>
      <c r="C373" s="1"/>
      <c r="D373" s="1"/>
      <c r="E373" s="1"/>
      <c r="F373" s="1"/>
      <c r="G373" s="1"/>
      <c r="H373" s="40"/>
      <c r="I373" s="40"/>
      <c r="J373" s="40"/>
      <c r="K373" s="42"/>
    </row>
    <row r="374">
      <c r="A374" s="38"/>
      <c r="B374" s="39" t="str">
        <f t="shared" ref="B374:B375" si="3">B218</f>
        <v xml:space="preserve">BIL NO.3- BUTIRAN KERJA BAIKPULIH LONGKANG</v>
      </c>
      <c r="C374" s="1"/>
      <c r="D374" s="1"/>
      <c r="E374" s="1"/>
      <c r="F374" s="1"/>
      <c r="G374" s="1"/>
      <c r="H374" s="40"/>
      <c r="I374" s="40"/>
      <c r="J374" s="40"/>
      <c r="K374" s="42">
        <f>K287</f>
        <v>4041.46</v>
      </c>
    </row>
    <row r="375">
      <c r="A375" s="38"/>
      <c r="B375" s="2" t="str">
        <f t="shared" si="3"/>
        <v xml:space="preserve">JALAN 3 TAMAN GREENWOOD</v>
      </c>
      <c r="C375" s="1"/>
      <c r="D375" s="1"/>
      <c r="E375" s="1"/>
      <c r="F375" s="1"/>
      <c r="G375" s="1"/>
      <c r="H375" s="40"/>
      <c r="I375" s="40"/>
      <c r="J375" s="40"/>
      <c r="K375" s="42"/>
    </row>
    <row r="376">
      <c r="A376" s="38"/>
      <c r="B376" s="2"/>
      <c r="C376" s="1"/>
      <c r="D376" s="1"/>
      <c r="E376" s="1"/>
      <c r="F376" s="1"/>
      <c r="G376" s="1"/>
      <c r="H376" s="40"/>
      <c r="I376" s="40"/>
      <c r="J376" s="40"/>
      <c r="K376" s="42"/>
    </row>
    <row r="377">
      <c r="A377" s="38"/>
      <c r="B377" s="39" t="str">
        <f t="shared" ref="B377:B378" si="4">B292</f>
        <v xml:space="preserve">BIL NO.3- BUTIRAN KERJA BAIKPULIH LONGKANG SAMB.</v>
      </c>
      <c r="C377" s="1"/>
      <c r="D377" s="1"/>
      <c r="E377" s="1"/>
      <c r="F377" s="1"/>
      <c r="G377" s="1"/>
      <c r="H377" s="40"/>
      <c r="I377" s="40"/>
      <c r="J377" s="40"/>
      <c r="K377" s="42">
        <f>K360</f>
        <v>3934.1680000000001</v>
      </c>
    </row>
    <row r="378">
      <c r="A378" s="38"/>
      <c r="B378" s="2" t="str">
        <f t="shared" si="4"/>
        <v xml:space="preserve">JALAN 3 TAMAN GREENWOOD</v>
      </c>
      <c r="C378" s="1"/>
      <c r="D378" s="1"/>
      <c r="E378" s="1"/>
      <c r="F378" s="1"/>
      <c r="G378" s="1"/>
      <c r="H378" s="40"/>
      <c r="I378" s="40"/>
      <c r="J378" s="40"/>
      <c r="K378" s="42"/>
    </row>
    <row r="379" ht="12">
      <c r="A379" s="38"/>
      <c r="B379" s="2"/>
      <c r="C379" s="1"/>
      <c r="D379" s="1"/>
      <c r="E379" s="1"/>
      <c r="F379" s="1"/>
      <c r="G379" s="1"/>
      <c r="H379" s="40"/>
      <c r="I379" s="40"/>
      <c r="J379" s="40"/>
      <c r="K379" s="42"/>
    </row>
    <row r="380" ht="12">
      <c r="A380" s="44" t="s">
        <v>42</v>
      </c>
      <c r="B380" s="45"/>
      <c r="C380" s="45"/>
      <c r="D380" s="45"/>
      <c r="E380" s="45"/>
      <c r="F380" s="45"/>
      <c r="G380" s="45"/>
      <c r="H380" s="45"/>
      <c r="I380" s="45"/>
      <c r="J380" s="46"/>
      <c r="K380" s="47">
        <f>SUM(K366:K379)</f>
        <v>16433.548000000003</v>
      </c>
    </row>
    <row r="381">
      <c r="A381" s="2"/>
      <c r="B381" s="1"/>
      <c r="C381" s="1"/>
      <c r="D381" s="1"/>
      <c r="E381" s="1"/>
      <c r="F381" s="1"/>
      <c r="G381" s="1"/>
      <c r="H381" s="2"/>
      <c r="I381" s="2"/>
      <c r="J381" s="2"/>
      <c r="K381" s="2"/>
    </row>
    <row r="382">
      <c r="B382" s="2" t="s">
        <v>112</v>
      </c>
      <c r="C382" s="1"/>
      <c r="D382" s="1"/>
      <c r="E382" s="1"/>
      <c r="F382" s="1"/>
      <c r="G382" s="1"/>
      <c r="H382" s="2"/>
      <c r="I382" s="2"/>
      <c r="J382" s="2"/>
      <c r="K382" s="2"/>
    </row>
    <row r="383">
      <c r="B383" s="2" t="s">
        <v>113</v>
      </c>
      <c r="C383" s="1"/>
      <c r="D383" s="1"/>
      <c r="E383" s="1"/>
      <c r="F383" s="1"/>
      <c r="G383" s="1"/>
      <c r="H383" s="2"/>
      <c r="I383" s="2"/>
      <c r="J383" s="2"/>
      <c r="K383" s="2"/>
    </row>
    <row r="384">
      <c r="B384" s="2" t="s">
        <v>114</v>
      </c>
      <c r="C384" s="1"/>
      <c r="D384" s="1"/>
      <c r="E384" s="1"/>
      <c r="F384" s="1"/>
      <c r="G384" s="1"/>
      <c r="H384" s="2"/>
      <c r="I384" s="2"/>
      <c r="J384" s="48"/>
      <c r="K384" s="48"/>
    </row>
    <row r="385">
      <c r="B385" s="2" t="s">
        <v>115</v>
      </c>
      <c r="C385" s="1"/>
      <c r="D385" s="1"/>
      <c r="E385" s="1"/>
      <c r="F385" s="1"/>
      <c r="G385" s="1"/>
      <c r="H385" s="2"/>
      <c r="I385" s="2"/>
      <c r="J385" s="2"/>
      <c r="K385" s="2"/>
    </row>
    <row r="386">
      <c r="B386" s="2" t="s">
        <v>116</v>
      </c>
      <c r="C386" s="1"/>
      <c r="D386" s="1"/>
      <c r="E386" s="1"/>
      <c r="F386" s="1"/>
      <c r="G386" s="1"/>
      <c r="H386" s="2"/>
      <c r="I386" s="2"/>
      <c r="J386" s="2"/>
      <c r="K386" s="2"/>
    </row>
    <row r="387">
      <c r="A387" s="2"/>
      <c r="B387" s="1"/>
      <c r="C387" s="1"/>
      <c r="D387" s="1"/>
      <c r="E387" s="1"/>
      <c r="F387" s="1"/>
      <c r="G387" s="1"/>
      <c r="H387" s="2"/>
      <c r="I387" s="2"/>
      <c r="J387" s="2"/>
      <c r="K387" s="2"/>
    </row>
    <row r="388">
      <c r="A388" s="2"/>
      <c r="B388" s="1"/>
      <c r="C388" s="1"/>
      <c r="D388" s="1"/>
      <c r="E388" s="1"/>
      <c r="F388" s="1"/>
      <c r="G388" s="1"/>
      <c r="H388" s="2"/>
      <c r="I388" s="2"/>
      <c r="J388" s="2"/>
      <c r="K388" s="2"/>
    </row>
    <row r="389">
      <c r="A389" s="2"/>
      <c r="B389" s="2" t="s">
        <v>117</v>
      </c>
      <c r="C389" s="1"/>
      <c r="D389" s="1"/>
      <c r="E389" s="1"/>
      <c r="F389" s="1"/>
      <c r="G389" s="2" t="s">
        <v>118</v>
      </c>
      <c r="H389" s="2"/>
      <c r="I389" s="2"/>
      <c r="J389" s="2"/>
      <c r="K389" s="2"/>
    </row>
    <row r="390">
      <c r="A390" s="2"/>
      <c r="B390" s="2" t="s">
        <v>119</v>
      </c>
      <c r="C390" s="1"/>
      <c r="D390" s="1"/>
      <c r="E390" s="1"/>
      <c r="F390" s="1"/>
      <c r="G390" s="2" t="s">
        <v>120</v>
      </c>
      <c r="H390" s="2"/>
      <c r="I390" s="2"/>
      <c r="J390" s="2"/>
      <c r="K390" s="2"/>
    </row>
    <row r="391">
      <c r="B391" s="2" t="s">
        <v>121</v>
      </c>
      <c r="C391" s="1"/>
      <c r="D391" s="1"/>
      <c r="E391" s="1"/>
      <c r="F391" s="1"/>
      <c r="G391" s="2" t="s">
        <v>122</v>
      </c>
      <c r="H391" s="2"/>
      <c r="I391" s="2"/>
      <c r="J391" s="2"/>
      <c r="K391" s="2"/>
    </row>
    <row r="392">
      <c r="A392" s="2"/>
      <c r="B392" s="1"/>
      <c r="C392" s="1"/>
      <c r="D392" s="1"/>
      <c r="E392" s="1"/>
      <c r="F392" s="1"/>
      <c r="G392" s="1"/>
      <c r="H392" s="2"/>
      <c r="I392" s="2"/>
      <c r="J392" s="2"/>
      <c r="K392" s="2"/>
    </row>
    <row r="393">
      <c r="A393" s="2" t="s">
        <v>123</v>
      </c>
      <c r="B393" s="1"/>
      <c r="C393" s="1"/>
      <c r="E393" s="1"/>
      <c r="F393" s="1"/>
      <c r="G393" s="2" t="s">
        <v>124</v>
      </c>
      <c r="H393" s="2"/>
      <c r="I393" s="2"/>
      <c r="J393" s="2"/>
      <c r="K393" s="2"/>
    </row>
    <row r="394">
      <c r="A394" s="2"/>
      <c r="B394" s="1"/>
      <c r="C394" s="1"/>
      <c r="D394" s="1"/>
      <c r="E394" s="1"/>
      <c r="F394" s="1"/>
      <c r="G394" s="1"/>
      <c r="H394" s="2"/>
      <c r="I394" s="2"/>
      <c r="J394" s="2"/>
      <c r="K394" s="2"/>
    </row>
    <row r="395">
      <c r="A395" s="2"/>
      <c r="B395" s="1"/>
      <c r="C395" s="1"/>
      <c r="D395" s="1"/>
      <c r="E395" s="1"/>
      <c r="F395" s="1"/>
      <c r="G395" s="1"/>
      <c r="H395" s="2"/>
      <c r="I395" s="2"/>
      <c r="J395" s="2"/>
      <c r="K395" s="2"/>
    </row>
    <row r="396">
      <c r="A396" s="2"/>
      <c r="B396" s="1"/>
      <c r="C396" s="1"/>
      <c r="D396" s="1"/>
      <c r="E396" s="1"/>
      <c r="F396" s="1"/>
      <c r="G396" s="1"/>
      <c r="H396" s="2"/>
      <c r="I396" s="2"/>
      <c r="J396" s="2"/>
      <c r="K396" s="2"/>
    </row>
    <row r="397">
      <c r="A397" s="49"/>
      <c r="B397" s="49"/>
      <c r="C397" s="49"/>
      <c r="D397" s="50"/>
      <c r="E397" s="50"/>
      <c r="F397" s="12"/>
      <c r="G397" s="51"/>
      <c r="H397" s="2"/>
      <c r="I397" s="2"/>
      <c r="J397" s="2"/>
      <c r="K397" s="2"/>
    </row>
    <row r="398">
      <c r="A398" s="2"/>
      <c r="B398" s="1"/>
      <c r="C398" s="1"/>
      <c r="D398" s="1"/>
      <c r="E398" s="1"/>
      <c r="F398" s="1"/>
      <c r="G398" s="1"/>
      <c r="H398" s="2"/>
      <c r="I398" s="2"/>
      <c r="J398" s="48"/>
      <c r="K398" s="48"/>
    </row>
    <row r="399">
      <c r="A399" s="2"/>
      <c r="B399" s="1"/>
      <c r="C399" s="1"/>
      <c r="D399" s="1"/>
      <c r="E399" s="1"/>
      <c r="F399" s="1"/>
      <c r="G399" s="1"/>
      <c r="H399" s="2"/>
      <c r="I399" s="2"/>
      <c r="J399" s="2"/>
      <c r="K399" s="2"/>
    </row>
    <row r="400">
      <c r="A400" s="2"/>
      <c r="B400" s="1"/>
      <c r="C400" s="1"/>
      <c r="D400" s="1"/>
      <c r="E400" s="1"/>
      <c r="F400" s="1"/>
      <c r="G400" s="1"/>
      <c r="H400" s="2"/>
      <c r="I400" s="2"/>
      <c r="J400" s="2"/>
      <c r="K400" s="2"/>
    </row>
    <row r="401">
      <c r="A401" s="2"/>
      <c r="B401" s="1"/>
      <c r="C401" s="1"/>
      <c r="D401" s="1"/>
      <c r="E401" s="1"/>
      <c r="F401" s="1"/>
      <c r="G401" s="1"/>
      <c r="H401" s="2"/>
      <c r="I401" s="2"/>
      <c r="J401" s="48"/>
      <c r="K401" s="48"/>
    </row>
    <row r="402">
      <c r="A402" s="2"/>
      <c r="B402" s="1"/>
      <c r="C402" s="1"/>
      <c r="D402" s="1"/>
      <c r="E402" s="1"/>
      <c r="F402" s="1"/>
      <c r="G402" s="1"/>
      <c r="H402" s="2"/>
      <c r="I402" s="2"/>
      <c r="J402" s="2"/>
      <c r="K402" s="2"/>
    </row>
    <row r="403">
      <c r="A403" s="2"/>
      <c r="B403" s="1"/>
      <c r="C403" s="1"/>
      <c r="D403" s="1"/>
      <c r="E403" s="1"/>
      <c r="F403" s="1"/>
      <c r="G403" s="1"/>
      <c r="H403" s="2"/>
      <c r="I403" s="2"/>
      <c r="J403" s="2"/>
      <c r="K403" s="2"/>
    </row>
    <row r="404">
      <c r="A404" s="2"/>
      <c r="B404" s="1"/>
      <c r="C404" s="1"/>
      <c r="D404" s="1"/>
      <c r="E404" s="1"/>
      <c r="F404" s="1"/>
      <c r="G404" s="1"/>
      <c r="H404" s="2"/>
      <c r="I404" s="2"/>
      <c r="J404" s="2"/>
      <c r="K404" s="2"/>
    </row>
    <row r="405">
      <c r="A405" s="2"/>
      <c r="B405" s="1"/>
      <c r="C405" s="1"/>
      <c r="D405" s="1"/>
      <c r="E405" s="1"/>
      <c r="F405" s="1"/>
      <c r="G405" s="1"/>
      <c r="H405" s="2"/>
      <c r="I405" s="2"/>
      <c r="J405" s="2"/>
      <c r="K405" s="2"/>
    </row>
    <row r="406">
      <c r="A406" s="2"/>
      <c r="B406" s="1"/>
      <c r="C406" s="1"/>
      <c r="D406" s="1"/>
      <c r="E406" s="1"/>
      <c r="F406" s="1"/>
      <c r="G406" s="1"/>
      <c r="H406" s="2"/>
      <c r="I406" s="2"/>
      <c r="J406" s="2"/>
      <c r="K406" s="2"/>
    </row>
    <row r="407">
      <c r="A407" s="2"/>
      <c r="B407" s="1"/>
      <c r="C407" s="1"/>
      <c r="D407" s="1"/>
      <c r="E407" s="1"/>
      <c r="F407" s="1"/>
      <c r="G407" s="1"/>
      <c r="H407" s="2"/>
      <c r="I407" s="2"/>
      <c r="J407" s="2"/>
      <c r="K407" s="2"/>
    </row>
    <row r="408">
      <c r="A408" s="2"/>
      <c r="B408" s="1"/>
      <c r="C408" s="1"/>
      <c r="D408" s="1"/>
      <c r="E408" s="1"/>
      <c r="F408" s="1"/>
      <c r="G408" s="1"/>
      <c r="H408" s="2"/>
      <c r="I408" s="2"/>
      <c r="J408" s="2"/>
      <c r="K408" s="2"/>
    </row>
    <row r="409">
      <c r="A409" s="2"/>
      <c r="B409" s="1"/>
      <c r="C409" s="1"/>
      <c r="D409" s="1"/>
      <c r="E409" s="1"/>
      <c r="F409" s="1"/>
      <c r="G409" s="1"/>
      <c r="H409" s="2"/>
      <c r="I409" s="2"/>
      <c r="J409" s="2"/>
      <c r="K409" s="2"/>
    </row>
    <row r="410">
      <c r="A410" s="2"/>
      <c r="B410" s="1"/>
      <c r="C410" s="1"/>
      <c r="D410" s="1"/>
      <c r="E410" s="1"/>
      <c r="F410" s="1"/>
      <c r="G410" s="1"/>
      <c r="H410" s="2"/>
      <c r="I410" s="2"/>
      <c r="J410" s="2"/>
      <c r="K410" s="2"/>
    </row>
    <row r="411">
      <c r="A411" s="2"/>
      <c r="B411" s="1"/>
      <c r="C411" s="1"/>
      <c r="D411" s="1"/>
      <c r="E411" s="1"/>
      <c r="F411" s="1"/>
      <c r="G411" s="1"/>
      <c r="H411" s="2"/>
      <c r="I411" s="2"/>
      <c r="J411" s="2"/>
      <c r="K411" s="2"/>
    </row>
    <row r="412">
      <c r="A412" s="2"/>
      <c r="B412" s="1"/>
      <c r="C412" s="1"/>
      <c r="D412" s="1"/>
      <c r="E412" s="1"/>
      <c r="F412" s="1"/>
      <c r="G412" s="1"/>
      <c r="H412" s="2"/>
      <c r="I412" s="2"/>
      <c r="J412" s="2"/>
      <c r="K412" s="2"/>
    </row>
    <row r="413">
      <c r="A413" s="2"/>
      <c r="B413" s="1"/>
      <c r="C413" s="1"/>
      <c r="D413" s="1"/>
      <c r="E413" s="1"/>
      <c r="F413" s="1"/>
      <c r="G413" s="1"/>
      <c r="H413" s="2"/>
      <c r="I413" s="2"/>
      <c r="J413" s="2"/>
      <c r="K413" s="2"/>
    </row>
    <row r="414">
      <c r="A414" s="2"/>
      <c r="B414" s="1"/>
      <c r="C414" s="1"/>
      <c r="D414" s="1"/>
      <c r="E414" s="1"/>
      <c r="F414" s="1"/>
      <c r="G414" s="1"/>
      <c r="H414" s="2"/>
      <c r="I414" s="2"/>
      <c r="J414" s="2"/>
      <c r="K414" s="2"/>
    </row>
    <row r="415">
      <c r="A415" s="2"/>
      <c r="B415" s="1"/>
      <c r="C415" s="1"/>
      <c r="D415" s="1"/>
      <c r="E415" s="1"/>
      <c r="F415" s="1"/>
      <c r="G415" s="1"/>
      <c r="H415" s="2"/>
      <c r="I415" s="2"/>
      <c r="J415" s="2"/>
      <c r="K415" s="2"/>
    </row>
    <row r="416">
      <c r="A416" s="2"/>
      <c r="B416" s="1"/>
      <c r="C416" s="1"/>
      <c r="D416" s="1"/>
      <c r="E416" s="1"/>
      <c r="F416" s="1"/>
      <c r="G416" s="1"/>
      <c r="H416" s="2"/>
      <c r="I416" s="2"/>
      <c r="J416" s="2"/>
      <c r="K416" s="2"/>
    </row>
    <row r="417">
      <c r="A417" s="2"/>
      <c r="B417" s="1"/>
      <c r="C417" s="1"/>
      <c r="D417" s="1"/>
      <c r="E417" s="1"/>
      <c r="F417" s="1"/>
      <c r="G417" s="1"/>
      <c r="H417" s="2"/>
      <c r="I417" s="2"/>
      <c r="J417" s="2"/>
      <c r="K417" s="2"/>
    </row>
    <row r="418">
      <c r="A418" s="2"/>
      <c r="B418" s="1"/>
      <c r="C418" s="1"/>
      <c r="D418" s="1"/>
      <c r="E418" s="1"/>
      <c r="F418" s="1"/>
      <c r="G418" s="1"/>
      <c r="H418" s="2"/>
      <c r="I418" s="2"/>
      <c r="J418" s="2"/>
      <c r="K418" s="2"/>
    </row>
    <row r="419">
      <c r="A419" s="2"/>
      <c r="B419" s="1"/>
      <c r="C419" s="1"/>
      <c r="D419" s="1"/>
      <c r="E419" s="1"/>
      <c r="F419" s="1"/>
      <c r="G419" s="1"/>
      <c r="H419" s="2"/>
      <c r="I419" s="2"/>
      <c r="J419" s="2"/>
      <c r="K419" s="2"/>
    </row>
    <row r="420">
      <c r="A420" s="2"/>
      <c r="B420" s="1"/>
      <c r="C420" s="1"/>
      <c r="D420" s="1"/>
      <c r="E420" s="1"/>
      <c r="F420" s="1"/>
      <c r="G420" s="1"/>
      <c r="H420" s="2"/>
      <c r="I420" s="2"/>
      <c r="J420" s="2"/>
      <c r="K420" s="2"/>
    </row>
    <row r="421">
      <c r="A421" s="2"/>
      <c r="B421" s="1"/>
      <c r="C421" s="1"/>
      <c r="D421" s="1"/>
      <c r="E421" s="1"/>
      <c r="F421" s="1"/>
      <c r="G421" s="1"/>
      <c r="H421" s="2"/>
      <c r="I421" s="2"/>
      <c r="J421" s="2"/>
      <c r="K421" s="2"/>
    </row>
    <row r="422">
      <c r="A422" s="2"/>
      <c r="B422" s="1"/>
      <c r="C422" s="1"/>
      <c r="D422" s="1"/>
      <c r="E422" s="1"/>
      <c r="F422" s="1"/>
      <c r="G422" s="1"/>
      <c r="H422" s="2"/>
      <c r="I422" s="2"/>
      <c r="J422" s="2"/>
      <c r="K422" s="2"/>
    </row>
    <row r="423">
      <c r="A423" s="2"/>
      <c r="B423" s="1"/>
      <c r="C423" s="1"/>
      <c r="D423" s="1"/>
      <c r="E423" s="1"/>
      <c r="F423" s="1"/>
      <c r="G423" s="1"/>
      <c r="H423" s="2"/>
      <c r="I423" s="2"/>
      <c r="J423" s="2"/>
      <c r="K423" s="2"/>
    </row>
    <row r="424">
      <c r="A424" s="2"/>
      <c r="B424" s="1"/>
      <c r="C424" s="1"/>
      <c r="D424" s="1"/>
      <c r="E424" s="1"/>
      <c r="F424" s="1"/>
      <c r="G424" s="1"/>
      <c r="H424" s="2"/>
      <c r="I424" s="2"/>
      <c r="J424" s="2"/>
      <c r="K424" s="2"/>
    </row>
    <row r="425">
      <c r="A425" s="2"/>
      <c r="B425" s="1"/>
      <c r="C425" s="1"/>
      <c r="D425" s="1"/>
      <c r="E425" s="1"/>
      <c r="F425" s="1"/>
      <c r="G425" s="1"/>
      <c r="H425" s="2"/>
      <c r="I425" s="2"/>
      <c r="J425" s="2"/>
      <c r="K425" s="2"/>
    </row>
    <row r="426">
      <c r="A426" s="2"/>
      <c r="B426" s="1"/>
      <c r="C426" s="1"/>
      <c r="D426" s="1"/>
      <c r="E426" s="1"/>
      <c r="F426" s="1"/>
      <c r="G426" s="1"/>
      <c r="H426" s="2"/>
      <c r="I426" s="2"/>
      <c r="J426" s="2"/>
      <c r="K426" s="2"/>
    </row>
    <row r="427">
      <c r="A427" s="2"/>
      <c r="B427" s="1"/>
      <c r="C427" s="1"/>
      <c r="D427" s="1"/>
      <c r="E427" s="1"/>
      <c r="F427" s="1"/>
      <c r="G427" s="1"/>
      <c r="H427" s="2"/>
      <c r="I427" s="2"/>
      <c r="J427" s="2"/>
      <c r="K427" s="2"/>
    </row>
    <row r="428">
      <c r="A428" s="2"/>
      <c r="B428" s="1"/>
      <c r="C428" s="1"/>
      <c r="D428" s="1"/>
      <c r="E428" s="1"/>
      <c r="F428" s="1"/>
      <c r="G428" s="1"/>
      <c r="H428" s="2"/>
      <c r="I428" s="2"/>
      <c r="J428" s="2"/>
      <c r="K428" s="2"/>
    </row>
    <row r="429">
      <c r="A429" s="2"/>
      <c r="B429" s="1"/>
      <c r="C429" s="1"/>
      <c r="D429" s="1"/>
      <c r="E429" s="1"/>
      <c r="F429" s="1"/>
      <c r="G429" s="1"/>
      <c r="H429" s="2"/>
      <c r="I429" s="2"/>
      <c r="J429" s="2"/>
      <c r="K429" s="2"/>
    </row>
    <row r="430">
      <c r="A430" s="2"/>
      <c r="B430" s="1"/>
      <c r="C430" s="1"/>
      <c r="D430" s="1"/>
      <c r="E430" s="1"/>
      <c r="F430" s="1"/>
      <c r="G430" s="1"/>
      <c r="H430" s="2"/>
      <c r="I430" s="2"/>
      <c r="J430" s="2"/>
      <c r="K430" s="2"/>
    </row>
    <row r="431">
      <c r="A431" s="2"/>
      <c r="B431" s="1"/>
      <c r="C431" s="1"/>
      <c r="D431" s="1"/>
      <c r="E431" s="1"/>
      <c r="F431" s="1"/>
      <c r="G431" s="1"/>
      <c r="H431" s="2"/>
      <c r="I431" s="2"/>
      <c r="J431" s="2"/>
      <c r="K431" s="2"/>
    </row>
    <row r="432">
      <c r="A432" s="2"/>
      <c r="B432" s="1"/>
      <c r="C432" s="1"/>
      <c r="D432" s="1"/>
      <c r="E432" s="1"/>
      <c r="F432" s="1"/>
      <c r="G432" s="1"/>
      <c r="H432" s="2"/>
      <c r="I432" s="2"/>
      <c r="J432" s="2"/>
      <c r="K432" s="2"/>
    </row>
    <row r="433">
      <c r="A433" s="2"/>
      <c r="B433" s="1"/>
      <c r="C433" s="1"/>
      <c r="D433" s="1"/>
      <c r="E433" s="1"/>
      <c r="F433" s="1"/>
      <c r="G433" s="1"/>
      <c r="H433" s="2"/>
      <c r="I433" s="2"/>
      <c r="J433" s="2"/>
      <c r="K433" s="2"/>
    </row>
    <row r="434">
      <c r="A434" s="2"/>
      <c r="B434" s="1"/>
      <c r="C434" s="1"/>
      <c r="D434" s="1"/>
      <c r="E434" s="1"/>
      <c r="F434" s="1"/>
      <c r="G434" s="1"/>
      <c r="H434" s="2"/>
      <c r="I434" s="2"/>
      <c r="J434" s="2"/>
      <c r="K434" s="2"/>
    </row>
    <row r="435">
      <c r="A435" s="2"/>
      <c r="B435" s="1"/>
      <c r="C435" s="1"/>
      <c r="D435" s="1"/>
      <c r="E435" s="1"/>
      <c r="F435" s="1"/>
      <c r="G435" s="1"/>
      <c r="H435" s="2"/>
      <c r="I435" s="2"/>
      <c r="J435" s="2"/>
      <c r="K435" s="2"/>
    </row>
    <row r="436">
      <c r="A436" s="2"/>
      <c r="B436" s="1"/>
      <c r="C436" s="1"/>
      <c r="D436" s="1"/>
      <c r="E436" s="1"/>
      <c r="F436" s="1"/>
      <c r="G436" s="1"/>
      <c r="H436" s="2"/>
      <c r="I436" s="2"/>
      <c r="J436" s="2"/>
      <c r="K436" s="2"/>
    </row>
    <row r="437">
      <c r="A437" s="2"/>
      <c r="B437" s="1"/>
      <c r="C437" s="1"/>
      <c r="D437" s="1"/>
      <c r="E437" s="1"/>
      <c r="F437" s="1"/>
      <c r="G437" s="1"/>
      <c r="H437" s="2"/>
      <c r="I437" s="2"/>
      <c r="J437" s="2"/>
      <c r="K437" s="2"/>
    </row>
    <row r="438">
      <c r="A438" s="2"/>
      <c r="B438" s="1"/>
      <c r="C438" s="1"/>
      <c r="D438" s="1"/>
      <c r="E438" s="1"/>
      <c r="F438" s="1"/>
      <c r="G438" s="1"/>
      <c r="H438" s="2"/>
      <c r="I438" s="2"/>
      <c r="J438" s="2"/>
      <c r="K438" s="2"/>
    </row>
    <row r="439">
      <c r="A439" s="2"/>
      <c r="B439" s="1"/>
      <c r="C439" s="1"/>
      <c r="D439" s="1"/>
      <c r="E439" s="1"/>
      <c r="F439" s="1"/>
      <c r="G439" s="1"/>
      <c r="H439" s="2"/>
      <c r="I439" s="2"/>
      <c r="J439" s="2"/>
      <c r="K439" s="2"/>
    </row>
    <row r="440">
      <c r="A440" s="2"/>
      <c r="B440" s="1"/>
      <c r="C440" s="1"/>
      <c r="D440" s="1"/>
      <c r="E440" s="1"/>
      <c r="F440" s="1"/>
      <c r="G440" s="1"/>
      <c r="H440" s="2"/>
      <c r="I440" s="2"/>
      <c r="J440" s="2"/>
      <c r="K440" s="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48"/>
    </row>
  </sheetData>
  <mergeCells count="39">
    <mergeCell ref="A1:K1"/>
    <mergeCell ref="A2:D2"/>
    <mergeCell ref="E2:K2"/>
    <mergeCell ref="A3:D3"/>
    <mergeCell ref="E3:K3"/>
    <mergeCell ref="N3:O3"/>
    <mergeCell ref="A4:D4"/>
    <mergeCell ref="E4:K4"/>
    <mergeCell ref="N4:O4"/>
    <mergeCell ref="B5:G5"/>
    <mergeCell ref="A66:J66"/>
    <mergeCell ref="B70:G70"/>
    <mergeCell ref="M72:N72"/>
    <mergeCell ref="O72:P72"/>
    <mergeCell ref="M73:N73"/>
    <mergeCell ref="O73:P73"/>
    <mergeCell ref="A140:J140"/>
    <mergeCell ref="B144:G144"/>
    <mergeCell ref="N145:O145"/>
    <mergeCell ref="P145:Q145"/>
    <mergeCell ref="N146:O146"/>
    <mergeCell ref="P146:Q146"/>
    <mergeCell ref="A213:J213"/>
    <mergeCell ref="B217:G217"/>
    <mergeCell ref="M219:N219"/>
    <mergeCell ref="O219:P219"/>
    <mergeCell ref="M220:N220"/>
    <mergeCell ref="O220:P220"/>
    <mergeCell ref="A287:J287"/>
    <mergeCell ref="B291:G291"/>
    <mergeCell ref="N292:O292"/>
    <mergeCell ref="P292:Q292"/>
    <mergeCell ref="N293:O293"/>
    <mergeCell ref="P293:Q293"/>
    <mergeCell ref="A360:J360"/>
    <mergeCell ref="A364:J364"/>
    <mergeCell ref="A380:J380"/>
    <mergeCell ref="D397:E397"/>
    <mergeCell ref="A441:J441"/>
  </mergeCells>
  <printOptions headings="0" gridLines="0" horizontalCentered="1"/>
  <pageMargins left="0.35433070866141736" right="0.47244094488188981" top="0.15748031496062992" bottom="0.15748031496062992" header="0.31496062992125984" footer="0.31496062992125984"/>
  <pageSetup paperSize="9" scale="97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topLeftCell="A280" zoomScale="40" workbookViewId="0">
      <selection activeCell="O318" activeCellId="0" sqref="O318:P318"/>
    </sheetView>
  </sheetViews>
  <sheetFormatPr defaultRowHeight="30"/>
  <cols>
    <col customWidth="1" min="1" max="1" style="53" width="8.5703125"/>
    <col customWidth="1" min="2" max="2" style="52" width="13.7109375"/>
    <col customWidth="1" min="3" max="3" style="52" width="12.28515625"/>
    <col customWidth="1" min="4" max="4" style="54" width="5.5703125"/>
    <col customWidth="1" min="5" max="5" style="52" width="14.85546875"/>
    <col customWidth="1" min="6" max="6" style="52" width="7.7109375"/>
    <col customWidth="1" min="7" max="7" style="52" width="7.140625"/>
    <col customWidth="1" min="8" max="8" style="52" width="5"/>
    <col customWidth="1" min="9" max="9" style="52" width="13.42578125"/>
    <col customWidth="1" min="10" max="10" style="52" width="98.28515625"/>
    <col customWidth="1" min="11" max="11" style="53" width="8.42578125"/>
    <col customWidth="1" min="12" max="12" style="53" width="23"/>
    <col customWidth="1" min="13" max="13" style="52" width="13.5703125"/>
    <col customWidth="1" min="14" max="14" style="55" width="24.140625"/>
    <col min="15" max="15" style="52" width="9.140625"/>
    <col customWidth="1" min="16" max="16" style="52" width="22.5703125"/>
    <col customWidth="1" min="17" max="17" style="52" width="37.5703125"/>
    <col customWidth="1" min="18" max="18" style="56" width="37.5703125"/>
    <col min="19" max="20" style="52" width="9.140625"/>
    <col bestFit="1" customWidth="1" min="21" max="21" style="52" width="23.7109375"/>
    <col min="22" max="16384" style="52" width="9.140625"/>
  </cols>
  <sheetData>
    <row r="1" ht="14.25" customHeight="1">
      <c r="A1" s="57" t="s">
        <v>125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ht="57" customHeight="1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</row>
    <row r="3" ht="42.600000000000001" customHeight="1">
      <c r="A3" s="63" t="s">
        <v>1</v>
      </c>
      <c r="B3" s="64"/>
      <c r="C3" s="64"/>
      <c r="D3" s="64"/>
      <c r="E3" s="64"/>
      <c r="F3" s="65"/>
      <c r="G3" s="66" t="s">
        <v>2</v>
      </c>
      <c r="H3" s="67"/>
      <c r="I3" s="67"/>
      <c r="J3" s="67"/>
      <c r="K3" s="67"/>
      <c r="L3" s="67"/>
      <c r="M3" s="67"/>
      <c r="N3" s="67"/>
      <c r="O3" s="67"/>
      <c r="P3" s="67"/>
      <c r="Q3" s="67"/>
      <c r="R3" s="68"/>
    </row>
    <row r="4" ht="42.600000000000001" customHeight="1">
      <c r="A4" s="66" t="s">
        <v>126</v>
      </c>
      <c r="B4" s="67"/>
      <c r="C4" s="67"/>
      <c r="D4" s="67"/>
      <c r="E4" s="67"/>
      <c r="F4" s="68"/>
      <c r="G4" s="66" t="s">
        <v>127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8"/>
    </row>
    <row r="5" ht="42.600000000000001" customHeight="1">
      <c r="A5" s="66" t="s">
        <v>128</v>
      </c>
      <c r="B5" s="67"/>
      <c r="C5" s="67"/>
      <c r="D5" s="67"/>
      <c r="E5" s="67"/>
      <c r="F5" s="68"/>
      <c r="G5" s="66" t="s">
        <v>129</v>
      </c>
      <c r="H5" s="67"/>
      <c r="I5" s="67"/>
      <c r="J5" s="67"/>
      <c r="K5" s="67"/>
      <c r="L5" s="67"/>
      <c r="M5" s="67"/>
      <c r="N5" s="67"/>
      <c r="O5" s="67"/>
      <c r="P5" s="67"/>
      <c r="Q5" s="67"/>
      <c r="R5" s="68"/>
    </row>
    <row r="6" ht="54.75" customHeight="1">
      <c r="A6" s="69" t="s">
        <v>7</v>
      </c>
      <c r="B6" s="70" t="s">
        <v>8</v>
      </c>
      <c r="C6" s="71"/>
      <c r="D6" s="71"/>
      <c r="E6" s="71"/>
      <c r="F6" s="71"/>
      <c r="G6" s="72"/>
      <c r="H6" s="72"/>
      <c r="I6" s="72"/>
      <c r="J6" s="72"/>
      <c r="K6" s="72"/>
      <c r="L6" s="73"/>
      <c r="M6" s="74" t="s">
        <v>9</v>
      </c>
      <c r="N6" s="74" t="s">
        <v>10</v>
      </c>
      <c r="O6" s="75" t="s">
        <v>11</v>
      </c>
      <c r="P6" s="76"/>
      <c r="Q6" s="74" t="s">
        <v>12</v>
      </c>
      <c r="R6" s="77" t="s">
        <v>12</v>
      </c>
    </row>
    <row r="7" ht="42.600000000000001" customHeight="1">
      <c r="A7" s="78"/>
      <c r="B7" s="79" t="s">
        <v>13</v>
      </c>
      <c r="C7" s="52"/>
      <c r="D7" s="54"/>
      <c r="E7" s="52"/>
      <c r="F7" s="52"/>
      <c r="G7" s="52"/>
      <c r="H7" s="52"/>
      <c r="I7" s="52"/>
      <c r="J7" s="52"/>
      <c r="K7" s="53"/>
      <c r="L7" s="53"/>
      <c r="M7" s="80"/>
      <c r="N7" s="80"/>
      <c r="O7" s="81"/>
      <c r="P7" s="82"/>
      <c r="Q7" s="81"/>
      <c r="R7" s="83"/>
    </row>
    <row r="8" ht="42.600000000000001" customHeight="1">
      <c r="A8" s="78"/>
      <c r="B8" s="84"/>
      <c r="C8" s="85"/>
      <c r="D8" s="85"/>
      <c r="E8" s="85"/>
      <c r="F8" s="85"/>
      <c r="G8" s="85"/>
      <c r="H8" s="85"/>
      <c r="I8" s="85"/>
      <c r="J8" s="52"/>
      <c r="K8" s="53"/>
      <c r="L8" s="53"/>
      <c r="M8" s="86"/>
      <c r="N8" s="86"/>
      <c r="O8" s="87"/>
      <c r="P8" s="88"/>
      <c r="Q8" s="87"/>
      <c r="R8" s="89"/>
    </row>
    <row r="9" ht="42.600000000000001" customHeight="1">
      <c r="A9" s="78"/>
      <c r="B9" s="90" t="s">
        <v>14</v>
      </c>
      <c r="C9" s="52"/>
      <c r="D9" s="54"/>
      <c r="E9" s="52"/>
      <c r="F9" s="52"/>
      <c r="G9" s="52"/>
      <c r="H9" s="52"/>
      <c r="I9" s="52"/>
      <c r="J9" s="52"/>
      <c r="K9" s="53"/>
      <c r="L9" s="53"/>
      <c r="M9" s="86"/>
      <c r="N9" s="86"/>
      <c r="O9" s="87"/>
      <c r="P9" s="88"/>
      <c r="Q9" s="87"/>
      <c r="R9" s="89"/>
    </row>
    <row r="10" ht="42.600000000000001" customHeight="1">
      <c r="A10" s="78"/>
      <c r="B10" s="91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86"/>
      <c r="N10" s="86"/>
      <c r="O10" s="87"/>
      <c r="P10" s="88"/>
      <c r="Q10" s="87"/>
      <c r="R10" s="89"/>
    </row>
    <row r="11" ht="42.600000000000001" customHeight="1">
      <c r="A11" s="93" t="s">
        <v>15</v>
      </c>
      <c r="B11" s="94" t="s">
        <v>16</v>
      </c>
      <c r="C11" s="92"/>
      <c r="D11" s="92"/>
      <c r="E11" s="92"/>
      <c r="F11" s="92"/>
      <c r="G11" s="92"/>
      <c r="H11" s="92"/>
      <c r="I11" s="92"/>
      <c r="J11" s="92"/>
      <c r="K11" s="53"/>
      <c r="L11" s="53"/>
      <c r="M11" s="86"/>
      <c r="N11" s="86"/>
      <c r="O11" s="87"/>
      <c r="P11" s="88"/>
      <c r="Q11" s="87"/>
      <c r="R11" s="89"/>
    </row>
    <row r="12" ht="42.600000000000001" customHeight="1">
      <c r="A12" s="93"/>
      <c r="B12" s="94" t="s">
        <v>130</v>
      </c>
      <c r="C12" s="92"/>
      <c r="D12" s="92"/>
      <c r="E12" s="92"/>
      <c r="F12" s="92"/>
      <c r="G12" s="92"/>
      <c r="H12" s="92"/>
      <c r="I12" s="92"/>
      <c r="J12" s="92"/>
      <c r="K12" s="53"/>
      <c r="L12" s="53"/>
      <c r="M12" s="86"/>
      <c r="N12" s="86"/>
      <c r="O12" s="87"/>
      <c r="P12" s="88"/>
      <c r="Q12" s="87"/>
      <c r="R12" s="89"/>
    </row>
    <row r="13" ht="42.600000000000001" customHeight="1">
      <c r="A13" s="93"/>
      <c r="B13" s="94" t="s">
        <v>131</v>
      </c>
      <c r="C13" s="92"/>
      <c r="D13" s="92"/>
      <c r="E13" s="92"/>
      <c r="F13" s="92"/>
      <c r="G13" s="92"/>
      <c r="H13" s="92"/>
      <c r="I13" s="92"/>
      <c r="J13" s="92"/>
      <c r="K13" s="53"/>
      <c r="L13" s="53"/>
      <c r="M13" s="86"/>
      <c r="N13" s="86"/>
      <c r="O13" s="87"/>
      <c r="P13" s="88"/>
      <c r="Q13" s="87"/>
      <c r="R13" s="89"/>
    </row>
    <row r="14" ht="42.600000000000001" customHeight="1">
      <c r="A14" s="93"/>
      <c r="B14" s="94" t="s">
        <v>132</v>
      </c>
      <c r="C14" s="92"/>
      <c r="D14" s="92"/>
      <c r="E14" s="92"/>
      <c r="F14" s="92"/>
      <c r="G14" s="92"/>
      <c r="H14" s="92"/>
      <c r="I14" s="92"/>
      <c r="J14" s="92"/>
      <c r="K14" s="53"/>
      <c r="L14" s="53"/>
      <c r="M14" s="86"/>
      <c r="N14" s="86"/>
      <c r="O14" s="87"/>
      <c r="P14" s="88"/>
      <c r="Q14" s="87"/>
      <c r="R14" s="89"/>
    </row>
    <row r="15" ht="42.600000000000001" customHeight="1">
      <c r="A15" s="93"/>
      <c r="B15" s="95" t="s">
        <v>20</v>
      </c>
      <c r="C15" s="92"/>
      <c r="D15" s="92"/>
      <c r="E15" s="92"/>
      <c r="F15" s="92"/>
      <c r="G15" s="92"/>
      <c r="H15" s="92"/>
      <c r="I15" s="92"/>
      <c r="J15" s="92"/>
      <c r="K15" s="53"/>
      <c r="L15" s="53"/>
      <c r="M15" s="86"/>
      <c r="N15" s="86"/>
      <c r="O15" s="87"/>
      <c r="P15" s="88"/>
      <c r="Q15" s="87"/>
      <c r="R15" s="89"/>
    </row>
    <row r="16" ht="42.600000000000001" customHeight="1">
      <c r="A16" s="93"/>
      <c r="B16" s="94" t="s">
        <v>21</v>
      </c>
      <c r="C16" s="92"/>
      <c r="D16" s="92"/>
      <c r="E16" s="92"/>
      <c r="F16" s="92"/>
      <c r="G16" s="92"/>
      <c r="H16" s="92"/>
      <c r="I16" s="92"/>
      <c r="J16" s="92"/>
      <c r="K16" s="53"/>
      <c r="L16" s="53"/>
      <c r="M16" s="86"/>
      <c r="N16" s="86"/>
      <c r="O16" s="87"/>
      <c r="P16" s="88"/>
      <c r="Q16" s="87"/>
      <c r="R16" s="89"/>
    </row>
    <row r="17" ht="42.600000000000001" customHeight="1">
      <c r="A17" s="93"/>
      <c r="B17" s="94" t="s">
        <v>22</v>
      </c>
      <c r="C17" s="92"/>
      <c r="D17" s="92"/>
      <c r="E17" s="92"/>
      <c r="F17" s="92"/>
      <c r="G17" s="92"/>
      <c r="H17" s="92"/>
      <c r="I17" s="92"/>
      <c r="J17" s="92"/>
      <c r="K17" s="53"/>
      <c r="L17" s="53"/>
      <c r="M17" s="96"/>
      <c r="N17" s="86"/>
      <c r="O17" s="97"/>
      <c r="P17" s="98"/>
      <c r="Q17" s="99"/>
      <c r="R17" s="89"/>
    </row>
    <row r="18" ht="42.600000000000001" customHeight="1">
      <c r="A18" s="93"/>
      <c r="B18" s="94" t="s">
        <v>133</v>
      </c>
      <c r="C18" s="92"/>
      <c r="D18" s="92"/>
      <c r="E18" s="92"/>
      <c r="F18" s="92"/>
      <c r="G18" s="92"/>
      <c r="H18" s="92"/>
      <c r="I18" s="92"/>
      <c r="J18" s="92"/>
      <c r="K18" s="53"/>
      <c r="L18" s="53"/>
      <c r="M18" s="96" t="s">
        <v>23</v>
      </c>
      <c r="N18" s="86"/>
      <c r="O18" s="97">
        <v>510</v>
      </c>
      <c r="P18" s="98"/>
      <c r="Q18" s="99">
        <f>O18</f>
        <v>510</v>
      </c>
      <c r="R18" s="100">
        <f>Q18</f>
        <v>510</v>
      </c>
    </row>
    <row r="19" ht="42.600000000000001" customHeight="1">
      <c r="A19" s="93"/>
      <c r="B19" s="94" t="s">
        <v>25</v>
      </c>
      <c r="C19" s="92"/>
      <c r="D19" s="92"/>
      <c r="E19" s="92"/>
      <c r="F19" s="92"/>
      <c r="G19" s="92"/>
      <c r="H19" s="92"/>
      <c r="I19" s="92"/>
      <c r="J19" s="92"/>
      <c r="K19" s="53"/>
      <c r="L19" s="53"/>
      <c r="M19" s="96"/>
      <c r="N19" s="86"/>
      <c r="O19" s="97"/>
      <c r="P19" s="98"/>
      <c r="Q19" s="87"/>
      <c r="R19" s="89"/>
    </row>
    <row r="20" ht="42.600000000000001" customHeight="1">
      <c r="A20" s="93"/>
      <c r="B20" s="94" t="s">
        <v>26</v>
      </c>
      <c r="C20" s="92"/>
      <c r="D20" s="92"/>
      <c r="E20" s="92"/>
      <c r="F20" s="92"/>
      <c r="G20" s="92"/>
      <c r="H20" s="92"/>
      <c r="I20" s="92"/>
      <c r="J20" s="92"/>
      <c r="K20" s="53"/>
      <c r="L20" s="53"/>
      <c r="M20" s="96"/>
      <c r="N20" s="86"/>
      <c r="O20" s="97"/>
      <c r="P20" s="98"/>
      <c r="Q20" s="99"/>
      <c r="R20" s="89"/>
    </row>
    <row r="21" ht="42.600000000000001" customHeight="1">
      <c r="A21" s="93"/>
      <c r="B21" s="94" t="s">
        <v>27</v>
      </c>
      <c r="C21" s="92"/>
      <c r="D21" s="92"/>
      <c r="E21" s="92"/>
      <c r="F21" s="92"/>
      <c r="G21" s="92"/>
      <c r="H21" s="92"/>
      <c r="I21" s="92"/>
      <c r="J21" s="92"/>
      <c r="K21" s="53"/>
      <c r="L21" s="53"/>
      <c r="M21" s="96"/>
      <c r="N21" s="86"/>
      <c r="O21" s="97"/>
      <c r="P21" s="98"/>
      <c r="Q21" s="87"/>
      <c r="R21" s="89"/>
    </row>
    <row r="22" ht="42.600000000000001" customHeight="1">
      <c r="A22" s="93"/>
      <c r="B22" s="95" t="s">
        <v>28</v>
      </c>
      <c r="C22" s="101"/>
      <c r="D22" s="101"/>
      <c r="E22" s="101"/>
      <c r="F22" s="101"/>
      <c r="G22" s="101"/>
      <c r="H22" s="101"/>
      <c r="I22" s="101"/>
      <c r="J22" s="101"/>
      <c r="K22" s="53"/>
      <c r="L22" s="53"/>
      <c r="M22" s="86"/>
      <c r="N22" s="86"/>
      <c r="O22" s="87"/>
      <c r="P22" s="88"/>
      <c r="Q22" s="87"/>
      <c r="R22" s="89"/>
    </row>
    <row r="23" ht="42.600000000000001" customHeight="1">
      <c r="A23" s="93"/>
      <c r="B23" s="94" t="s">
        <v>134</v>
      </c>
      <c r="C23" s="101"/>
      <c r="D23" s="101"/>
      <c r="E23" s="101"/>
      <c r="F23" s="101"/>
      <c r="G23" s="101"/>
      <c r="H23" s="101"/>
      <c r="I23" s="101"/>
      <c r="J23" s="101"/>
      <c r="K23" s="53"/>
      <c r="L23" s="53"/>
      <c r="M23" s="86"/>
      <c r="N23" s="86"/>
      <c r="O23" s="87"/>
      <c r="P23" s="88"/>
      <c r="Q23" s="87"/>
      <c r="R23" s="89"/>
    </row>
    <row r="24" ht="42.600000000000001" customHeight="1">
      <c r="A24" s="93"/>
      <c r="B24" s="94" t="s">
        <v>30</v>
      </c>
      <c r="C24" s="101"/>
      <c r="D24" s="101"/>
      <c r="E24" s="101"/>
      <c r="F24" s="101"/>
      <c r="G24" s="101"/>
      <c r="H24" s="101"/>
      <c r="I24" s="101"/>
      <c r="J24" s="101"/>
      <c r="K24" s="53"/>
      <c r="L24" s="53"/>
      <c r="M24" s="86"/>
      <c r="N24" s="86"/>
      <c r="O24" s="87"/>
      <c r="P24" s="88"/>
      <c r="Q24" s="87"/>
      <c r="R24" s="89"/>
    </row>
    <row r="25" ht="42.600000000000001" customHeight="1">
      <c r="A25" s="93"/>
      <c r="B25" s="102"/>
      <c r="C25" s="101"/>
      <c r="D25" s="101"/>
      <c r="E25" s="101"/>
      <c r="F25" s="101"/>
      <c r="G25" s="101"/>
      <c r="H25" s="101"/>
      <c r="I25" s="101"/>
      <c r="J25" s="101"/>
      <c r="K25" s="53"/>
      <c r="L25" s="53"/>
      <c r="M25" s="86"/>
      <c r="N25" s="86"/>
      <c r="O25" s="87"/>
      <c r="P25" s="88"/>
      <c r="Q25" s="87"/>
      <c r="R25" s="89"/>
    </row>
    <row r="26" ht="42.600000000000001" customHeight="1">
      <c r="A26" s="93" t="s">
        <v>31</v>
      </c>
      <c r="B26" s="90" t="s">
        <v>135</v>
      </c>
      <c r="C26" s="101"/>
      <c r="D26" s="101"/>
      <c r="E26" s="101"/>
      <c r="F26" s="101"/>
      <c r="G26" s="101"/>
      <c r="H26" s="101"/>
      <c r="I26" s="101"/>
      <c r="J26" s="101"/>
      <c r="K26" s="53"/>
      <c r="L26" s="53"/>
      <c r="M26" s="86"/>
      <c r="N26" s="86"/>
      <c r="O26" s="87"/>
      <c r="P26" s="88"/>
      <c r="Q26" s="87"/>
      <c r="R26" s="89"/>
    </row>
    <row r="27" ht="42.600000000000001" customHeight="1">
      <c r="A27" s="93"/>
      <c r="B27" s="102"/>
      <c r="C27" s="101"/>
      <c r="D27" s="101"/>
      <c r="E27" s="101"/>
      <c r="F27" s="101"/>
      <c r="G27" s="101"/>
      <c r="H27" s="101"/>
      <c r="I27" s="101"/>
      <c r="J27" s="101"/>
      <c r="K27" s="53"/>
      <c r="L27" s="53"/>
      <c r="M27" s="86"/>
      <c r="N27" s="86"/>
      <c r="O27" s="87"/>
      <c r="P27" s="88"/>
      <c r="Q27" s="87"/>
      <c r="R27" s="89"/>
    </row>
    <row r="28" ht="42.600000000000001" customHeight="1">
      <c r="A28" s="93"/>
      <c r="B28" s="94" t="s">
        <v>33</v>
      </c>
      <c r="C28" s="101"/>
      <c r="D28" s="101"/>
      <c r="E28" s="101"/>
      <c r="F28" s="101"/>
      <c r="G28" s="101"/>
      <c r="H28" s="101"/>
      <c r="I28" s="101"/>
      <c r="J28" s="101"/>
      <c r="K28" s="53"/>
      <c r="L28" s="53"/>
      <c r="M28" s="86"/>
      <c r="N28" s="86"/>
      <c r="O28" s="87"/>
      <c r="P28" s="88"/>
      <c r="Q28" s="87"/>
      <c r="R28" s="89"/>
    </row>
    <row r="29" ht="42.600000000000001" customHeight="1">
      <c r="A29" s="93"/>
      <c r="B29" s="94" t="s">
        <v>34</v>
      </c>
      <c r="C29" s="101"/>
      <c r="D29" s="101"/>
      <c r="E29" s="101"/>
      <c r="F29" s="101"/>
      <c r="G29" s="101"/>
      <c r="H29" s="101"/>
      <c r="I29" s="101"/>
      <c r="J29" s="101"/>
      <c r="K29" s="53"/>
      <c r="L29" s="53"/>
      <c r="M29" s="86"/>
      <c r="N29" s="86"/>
      <c r="O29" s="87"/>
      <c r="P29" s="88"/>
      <c r="Q29" s="87"/>
      <c r="R29" s="89"/>
    </row>
    <row r="30" ht="42.600000000000001" customHeight="1">
      <c r="A30" s="93"/>
      <c r="B30" s="94" t="s">
        <v>35</v>
      </c>
      <c r="C30" s="101"/>
      <c r="D30" s="101"/>
      <c r="E30" s="101"/>
      <c r="F30" s="101"/>
      <c r="G30" s="101"/>
      <c r="H30" s="101"/>
      <c r="I30" s="101"/>
      <c r="J30" s="101"/>
      <c r="K30" s="53"/>
      <c r="L30" s="53"/>
      <c r="M30" s="86"/>
      <c r="N30" s="86"/>
      <c r="O30" s="87"/>
      <c r="P30" s="88"/>
      <c r="Q30" s="87"/>
      <c r="R30" s="89"/>
    </row>
    <row r="31" ht="42.600000000000001" customHeight="1">
      <c r="A31" s="93"/>
      <c r="B31" s="94" t="s">
        <v>36</v>
      </c>
      <c r="C31" s="101"/>
      <c r="D31" s="101"/>
      <c r="E31" s="101"/>
      <c r="F31" s="101"/>
      <c r="G31" s="101"/>
      <c r="H31" s="101"/>
      <c r="I31" s="101"/>
      <c r="J31" s="101"/>
      <c r="K31" s="53"/>
      <c r="L31" s="53"/>
      <c r="M31" s="86"/>
      <c r="N31" s="86"/>
      <c r="O31" s="87"/>
      <c r="P31" s="88"/>
      <c r="Q31" s="87"/>
      <c r="R31" s="89"/>
    </row>
    <row r="32" ht="42.600000000000001" customHeight="1">
      <c r="A32" s="93"/>
      <c r="B32" s="94" t="s">
        <v>37</v>
      </c>
      <c r="C32" s="101"/>
      <c r="D32" s="101"/>
      <c r="E32" s="101"/>
      <c r="F32" s="101"/>
      <c r="G32" s="101"/>
      <c r="H32" s="101"/>
      <c r="I32" s="101"/>
      <c r="J32" s="101"/>
      <c r="K32" s="53"/>
      <c r="L32" s="53"/>
      <c r="M32" s="86"/>
      <c r="N32" s="86"/>
      <c r="O32" s="87"/>
      <c r="P32" s="88"/>
      <c r="Q32" s="87"/>
      <c r="R32" s="89"/>
    </row>
    <row r="33" ht="42.600000000000001" customHeight="1">
      <c r="A33" s="93"/>
      <c r="B33" s="94" t="s">
        <v>136</v>
      </c>
      <c r="C33" s="101"/>
      <c r="D33" s="101"/>
      <c r="E33" s="101"/>
      <c r="F33" s="101"/>
      <c r="G33" s="101"/>
      <c r="H33" s="101"/>
      <c r="I33" s="101"/>
      <c r="J33" s="101"/>
      <c r="K33" s="53"/>
      <c r="L33" s="53"/>
      <c r="M33" s="96" t="s">
        <v>23</v>
      </c>
      <c r="N33" s="96"/>
      <c r="O33" s="97">
        <v>1275</v>
      </c>
      <c r="P33" s="98"/>
      <c r="Q33" s="99">
        <f>O33</f>
        <v>1275</v>
      </c>
      <c r="R33" s="100">
        <f>Q33</f>
        <v>1275</v>
      </c>
    </row>
    <row r="34" ht="42.600000000000001" customHeight="1">
      <c r="A34" s="93"/>
      <c r="B34" s="102"/>
      <c r="C34" s="101"/>
      <c r="D34" s="101"/>
      <c r="E34" s="101"/>
      <c r="F34" s="101"/>
      <c r="G34" s="101"/>
      <c r="H34" s="101"/>
      <c r="I34" s="101"/>
      <c r="J34" s="101"/>
      <c r="K34" s="53"/>
      <c r="L34" s="53"/>
      <c r="M34" s="86"/>
      <c r="N34" s="86"/>
      <c r="O34" s="87"/>
      <c r="P34" s="88"/>
      <c r="Q34" s="87"/>
      <c r="R34" s="89"/>
    </row>
    <row r="35" ht="42.600000000000001" customHeight="1">
      <c r="A35" s="93"/>
      <c r="B35" s="103"/>
      <c r="C35" s="101"/>
      <c r="D35" s="101"/>
      <c r="E35" s="101"/>
      <c r="F35" s="101"/>
      <c r="G35" s="101"/>
      <c r="H35" s="101"/>
      <c r="I35" s="101"/>
      <c r="J35" s="101"/>
      <c r="K35" s="53"/>
      <c r="L35" s="53"/>
      <c r="M35" s="86"/>
      <c r="N35" s="86"/>
      <c r="O35" s="87"/>
      <c r="P35" s="88"/>
      <c r="Q35" s="87"/>
      <c r="R35" s="89"/>
    </row>
    <row r="36" ht="42.600000000000001" customHeight="1">
      <c r="A36" s="93"/>
      <c r="B36" s="103" t="s">
        <v>40</v>
      </c>
      <c r="C36" s="101"/>
      <c r="D36" s="101"/>
      <c r="E36" s="101"/>
      <c r="F36" s="101"/>
      <c r="G36" s="101"/>
      <c r="H36" s="101"/>
      <c r="I36" s="101"/>
      <c r="J36" s="101"/>
      <c r="K36" s="53"/>
      <c r="L36" s="53"/>
      <c r="M36" s="86"/>
      <c r="N36" s="86"/>
      <c r="O36" s="87"/>
      <c r="P36" s="88"/>
      <c r="Q36" s="87"/>
      <c r="R36" s="89"/>
    </row>
    <row r="37" ht="42.600000000000001" customHeight="1">
      <c r="A37" s="93"/>
      <c r="B37" s="103" t="s">
        <v>137</v>
      </c>
      <c r="C37" s="101"/>
      <c r="D37" s="101"/>
      <c r="E37" s="101"/>
      <c r="F37" s="101"/>
      <c r="G37" s="101"/>
      <c r="H37" s="101"/>
      <c r="I37" s="101"/>
      <c r="J37" s="101"/>
      <c r="K37" s="53"/>
      <c r="L37" s="53"/>
      <c r="M37" s="96" t="s">
        <v>23</v>
      </c>
      <c r="N37" s="86"/>
      <c r="O37" s="97">
        <v>255</v>
      </c>
      <c r="P37" s="98"/>
      <c r="Q37" s="99">
        <f>O37</f>
        <v>255</v>
      </c>
      <c r="R37" s="100">
        <f>Q37</f>
        <v>255</v>
      </c>
    </row>
    <row r="38" ht="42.600000000000001" customHeight="1">
      <c r="A38" s="93"/>
      <c r="B38" s="103"/>
      <c r="C38" s="101"/>
      <c r="D38" s="101"/>
      <c r="E38" s="101"/>
      <c r="F38" s="101"/>
      <c r="G38" s="101"/>
      <c r="H38" s="101"/>
      <c r="I38" s="101"/>
      <c r="J38" s="101"/>
      <c r="K38" s="53"/>
      <c r="L38" s="53"/>
      <c r="M38" s="96"/>
      <c r="N38" s="86"/>
      <c r="O38" s="97"/>
      <c r="P38" s="98"/>
      <c r="Q38" s="99"/>
      <c r="R38" s="89"/>
    </row>
    <row r="39" ht="42.600000000000001" customHeight="1">
      <c r="A39" s="93"/>
      <c r="B39" s="102"/>
      <c r="C39" s="101"/>
      <c r="D39" s="101"/>
      <c r="E39" s="101"/>
      <c r="F39" s="101"/>
      <c r="G39" s="101"/>
      <c r="H39" s="101"/>
      <c r="I39" s="101"/>
      <c r="J39" s="101"/>
      <c r="K39" s="53"/>
      <c r="L39" s="53"/>
      <c r="M39" s="96"/>
      <c r="N39" s="86"/>
      <c r="O39" s="97"/>
      <c r="P39" s="98"/>
      <c r="Q39" s="87"/>
      <c r="R39" s="89"/>
    </row>
    <row r="40" ht="42.600000000000001" customHeight="1">
      <c r="A40" s="104"/>
      <c r="B40" s="102"/>
      <c r="C40" s="101"/>
      <c r="D40" s="101"/>
      <c r="E40" s="101"/>
      <c r="F40" s="101"/>
      <c r="G40" s="101"/>
      <c r="H40" s="101"/>
      <c r="I40" s="101"/>
      <c r="J40" s="101"/>
      <c r="K40" s="53"/>
      <c r="L40" s="53"/>
      <c r="M40" s="86"/>
      <c r="N40" s="86"/>
      <c r="O40" s="87"/>
      <c r="P40" s="88"/>
      <c r="Q40" s="87"/>
      <c r="R40" s="89"/>
    </row>
    <row r="41" ht="42.600000000000001" customHeight="1">
      <c r="A41" s="104"/>
      <c r="B41" s="102"/>
      <c r="C41" s="101"/>
      <c r="D41" s="101"/>
      <c r="E41" s="101"/>
      <c r="F41" s="101"/>
      <c r="G41" s="101"/>
      <c r="H41" s="101"/>
      <c r="I41" s="101"/>
      <c r="J41" s="101"/>
      <c r="K41" s="53"/>
      <c r="L41" s="53"/>
      <c r="M41" s="86"/>
      <c r="N41" s="86"/>
      <c r="O41" s="87"/>
      <c r="P41" s="88"/>
      <c r="Q41" s="87"/>
      <c r="R41" s="89"/>
    </row>
    <row r="42" ht="42.600000000000001" customHeight="1">
      <c r="A42" s="104"/>
      <c r="B42" s="102"/>
      <c r="C42" s="101"/>
      <c r="D42" s="101"/>
      <c r="E42" s="101"/>
      <c r="F42" s="101"/>
      <c r="G42" s="101"/>
      <c r="H42" s="101"/>
      <c r="I42" s="101"/>
      <c r="J42" s="101"/>
      <c r="K42" s="53"/>
      <c r="L42" s="53"/>
      <c r="M42" s="86"/>
      <c r="N42" s="86"/>
      <c r="O42" s="87"/>
      <c r="P42" s="88"/>
      <c r="Q42" s="87"/>
      <c r="R42" s="89"/>
    </row>
    <row r="43" ht="42.600000000000001" customHeight="1">
      <c r="A43" s="104"/>
      <c r="B43" s="102"/>
      <c r="C43" s="101"/>
      <c r="D43" s="101"/>
      <c r="E43" s="101"/>
      <c r="F43" s="101"/>
      <c r="G43" s="101"/>
      <c r="H43" s="101"/>
      <c r="I43" s="101"/>
      <c r="J43" s="101"/>
      <c r="K43" s="53"/>
      <c r="L43" s="53"/>
      <c r="M43" s="86"/>
      <c r="N43" s="86"/>
      <c r="O43" s="87"/>
      <c r="P43" s="88"/>
      <c r="Q43" s="87"/>
      <c r="R43" s="89"/>
    </row>
    <row r="44" ht="42.600000000000001" customHeight="1">
      <c r="A44" s="104"/>
      <c r="B44" s="102"/>
      <c r="C44" s="101"/>
      <c r="D44" s="101"/>
      <c r="E44" s="101"/>
      <c r="F44" s="101"/>
      <c r="G44" s="101"/>
      <c r="H44" s="101"/>
      <c r="I44" s="101"/>
      <c r="J44" s="101"/>
      <c r="K44" s="53"/>
      <c r="L44" s="53"/>
      <c r="M44" s="86"/>
      <c r="N44" s="86"/>
      <c r="O44" s="87"/>
      <c r="P44" s="88"/>
      <c r="Q44" s="87"/>
      <c r="R44" s="89"/>
    </row>
    <row r="45" ht="42.600000000000001" customHeight="1">
      <c r="A45" s="104"/>
      <c r="B45" s="102"/>
      <c r="C45" s="101"/>
      <c r="D45" s="101"/>
      <c r="E45" s="101"/>
      <c r="F45" s="101"/>
      <c r="G45" s="101"/>
      <c r="H45" s="101"/>
      <c r="I45" s="101"/>
      <c r="J45" s="101"/>
      <c r="K45" s="53"/>
      <c r="L45" s="53"/>
      <c r="M45" s="86"/>
      <c r="N45" s="86"/>
      <c r="O45" s="87"/>
      <c r="P45" s="88"/>
      <c r="Q45" s="87"/>
      <c r="R45" s="89"/>
    </row>
    <row r="46" ht="42.600000000000001" customHeight="1">
      <c r="A46" s="104"/>
      <c r="B46" s="102"/>
      <c r="C46" s="101"/>
      <c r="D46" s="101"/>
      <c r="E46" s="101"/>
      <c r="F46" s="101"/>
      <c r="G46" s="101"/>
      <c r="H46" s="101"/>
      <c r="I46" s="101"/>
      <c r="J46" s="101"/>
      <c r="K46" s="53"/>
      <c r="L46" s="53"/>
      <c r="M46" s="86"/>
      <c r="N46" s="86"/>
      <c r="O46" s="87"/>
      <c r="P46" s="88"/>
      <c r="Q46" s="87"/>
      <c r="R46" s="89"/>
    </row>
    <row r="47" ht="42.600000000000001" customHeight="1">
      <c r="A47" s="104"/>
      <c r="B47" s="102"/>
      <c r="C47" s="101"/>
      <c r="D47" s="101"/>
      <c r="E47" s="101"/>
      <c r="F47" s="101"/>
      <c r="G47" s="101"/>
      <c r="H47" s="101"/>
      <c r="I47" s="101"/>
      <c r="J47" s="101"/>
      <c r="K47" s="53"/>
      <c r="L47" s="53"/>
      <c r="M47" s="86"/>
      <c r="N47" s="86"/>
      <c r="O47" s="87"/>
      <c r="P47" s="88"/>
      <c r="Q47" s="87"/>
      <c r="R47" s="89"/>
    </row>
    <row r="48" ht="42.600000000000001" customHeight="1">
      <c r="A48" s="104"/>
      <c r="B48" s="102"/>
      <c r="C48" s="101"/>
      <c r="D48" s="101"/>
      <c r="E48" s="101"/>
      <c r="F48" s="101"/>
      <c r="G48" s="101"/>
      <c r="H48" s="101"/>
      <c r="I48" s="101"/>
      <c r="J48" s="101"/>
      <c r="K48" s="53"/>
      <c r="L48" s="53"/>
      <c r="M48" s="86"/>
      <c r="N48" s="86"/>
      <c r="O48" s="87"/>
      <c r="P48" s="88"/>
      <c r="Q48" s="87"/>
      <c r="R48" s="89"/>
    </row>
    <row r="49" ht="42.600000000000001" customHeight="1">
      <c r="A49" s="104"/>
      <c r="B49" s="102"/>
      <c r="C49" s="101"/>
      <c r="D49" s="101"/>
      <c r="E49" s="101"/>
      <c r="F49" s="101"/>
      <c r="G49" s="101"/>
      <c r="H49" s="101"/>
      <c r="I49" s="101"/>
      <c r="J49" s="101"/>
      <c r="K49" s="53"/>
      <c r="L49" s="53"/>
      <c r="M49" s="86"/>
      <c r="N49" s="86"/>
      <c r="O49" s="87"/>
      <c r="P49" s="88"/>
      <c r="Q49" s="87"/>
      <c r="R49" s="89"/>
    </row>
    <row r="50" ht="42.600000000000001" customHeight="1">
      <c r="A50" s="104"/>
      <c r="B50" s="102"/>
      <c r="C50" s="101"/>
      <c r="D50" s="101"/>
      <c r="E50" s="101"/>
      <c r="F50" s="101"/>
      <c r="G50" s="101"/>
      <c r="H50" s="101"/>
      <c r="I50" s="101"/>
      <c r="J50" s="101"/>
      <c r="K50" s="53"/>
      <c r="L50" s="53"/>
      <c r="M50" s="86"/>
      <c r="N50" s="86"/>
      <c r="O50" s="87"/>
      <c r="P50" s="88"/>
      <c r="Q50" s="87"/>
      <c r="R50" s="89"/>
    </row>
    <row r="51" ht="42.600000000000001" customHeight="1">
      <c r="A51" s="104"/>
      <c r="B51" s="102"/>
      <c r="C51" s="101"/>
      <c r="D51" s="101"/>
      <c r="E51" s="101"/>
      <c r="F51" s="101"/>
      <c r="G51" s="101"/>
      <c r="H51" s="101"/>
      <c r="I51" s="101"/>
      <c r="J51" s="101"/>
      <c r="K51" s="53"/>
      <c r="L51" s="53"/>
      <c r="M51" s="86"/>
      <c r="N51" s="86"/>
      <c r="O51" s="87"/>
      <c r="P51" s="88"/>
      <c r="Q51" s="87"/>
      <c r="R51" s="89"/>
    </row>
    <row r="52" ht="42.600000000000001" customHeight="1">
      <c r="A52" s="104"/>
      <c r="B52" s="102"/>
      <c r="C52" s="101"/>
      <c r="D52" s="101"/>
      <c r="E52" s="101"/>
      <c r="F52" s="101"/>
      <c r="G52" s="101"/>
      <c r="H52" s="101"/>
      <c r="I52" s="101"/>
      <c r="J52" s="101"/>
      <c r="K52" s="53"/>
      <c r="L52" s="53"/>
      <c r="M52" s="86"/>
      <c r="N52" s="86"/>
      <c r="O52" s="87"/>
      <c r="P52" s="88"/>
      <c r="Q52" s="87"/>
      <c r="R52" s="89"/>
    </row>
    <row r="53" ht="42.600000000000001" customHeight="1">
      <c r="A53" s="104"/>
      <c r="B53" s="102"/>
      <c r="C53" s="101"/>
      <c r="D53" s="101"/>
      <c r="E53" s="101"/>
      <c r="F53" s="101"/>
      <c r="G53" s="101"/>
      <c r="H53" s="101"/>
      <c r="I53" s="101"/>
      <c r="J53" s="101"/>
      <c r="K53" s="53"/>
      <c r="L53" s="53"/>
      <c r="M53" s="86"/>
      <c r="N53" s="86"/>
      <c r="O53" s="87"/>
      <c r="P53" s="88"/>
      <c r="Q53" s="87"/>
      <c r="R53" s="89"/>
    </row>
    <row r="54" ht="42.600000000000001" customHeight="1">
      <c r="A54" s="104"/>
      <c r="B54" s="102"/>
      <c r="C54" s="101"/>
      <c r="D54" s="101"/>
      <c r="E54" s="101"/>
      <c r="F54" s="101"/>
      <c r="G54" s="101"/>
      <c r="H54" s="101"/>
      <c r="I54" s="101"/>
      <c r="J54" s="101"/>
      <c r="K54" s="53"/>
      <c r="L54" s="53"/>
      <c r="M54" s="86"/>
      <c r="N54" s="86"/>
      <c r="O54" s="87"/>
      <c r="P54" s="88"/>
      <c r="Q54" s="87"/>
      <c r="R54" s="89"/>
    </row>
    <row r="55" ht="42.600000000000001" customHeight="1">
      <c r="A55" s="104"/>
      <c r="B55" s="102"/>
      <c r="C55" s="101"/>
      <c r="D55" s="101"/>
      <c r="E55" s="101"/>
      <c r="F55" s="101"/>
      <c r="G55" s="101"/>
      <c r="H55" s="101"/>
      <c r="I55" s="101"/>
      <c r="J55" s="101"/>
      <c r="K55" s="53"/>
      <c r="L55" s="53"/>
      <c r="M55" s="86"/>
      <c r="N55" s="86"/>
      <c r="O55" s="87"/>
      <c r="P55" s="88"/>
      <c r="Q55" s="87"/>
      <c r="R55" s="89"/>
    </row>
    <row r="56" ht="42.600000000000001" customHeight="1">
      <c r="A56" s="104"/>
      <c r="B56" s="102"/>
      <c r="C56" s="101"/>
      <c r="D56" s="101"/>
      <c r="E56" s="101"/>
      <c r="F56" s="101"/>
      <c r="G56" s="101"/>
      <c r="H56" s="101"/>
      <c r="I56" s="101"/>
      <c r="J56" s="101"/>
      <c r="K56" s="53"/>
      <c r="L56" s="53"/>
      <c r="M56" s="86"/>
      <c r="N56" s="86"/>
      <c r="O56" s="87"/>
      <c r="P56" s="88"/>
      <c r="Q56" s="87"/>
      <c r="R56" s="89"/>
    </row>
    <row r="57" ht="42.600000000000001" customHeight="1">
      <c r="A57" s="104"/>
      <c r="B57" s="102"/>
      <c r="C57" s="101"/>
      <c r="D57" s="101"/>
      <c r="E57" s="101"/>
      <c r="F57" s="101"/>
      <c r="G57" s="101"/>
      <c r="H57" s="101"/>
      <c r="I57" s="101"/>
      <c r="J57" s="101"/>
      <c r="K57" s="53"/>
      <c r="L57" s="53"/>
      <c r="M57" s="86"/>
      <c r="N57" s="86"/>
      <c r="O57" s="87"/>
      <c r="P57" s="88"/>
      <c r="Q57" s="87"/>
      <c r="R57" s="89"/>
    </row>
    <row r="58" ht="42.600000000000001" customHeight="1">
      <c r="A58" s="104"/>
      <c r="B58" s="102"/>
      <c r="C58" s="101"/>
      <c r="D58" s="101"/>
      <c r="E58" s="101"/>
      <c r="F58" s="101"/>
      <c r="G58" s="101"/>
      <c r="H58" s="101"/>
      <c r="I58" s="101"/>
      <c r="J58" s="101"/>
      <c r="K58" s="53"/>
      <c r="L58" s="53"/>
      <c r="M58" s="86"/>
      <c r="N58" s="86"/>
      <c r="O58" s="87"/>
      <c r="P58" s="88"/>
      <c r="Q58" s="87"/>
      <c r="R58" s="89"/>
    </row>
    <row r="59" ht="42.600000000000001" customHeight="1">
      <c r="A59" s="66" t="s">
        <v>42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8"/>
      <c r="Q59" s="105">
        <f>SUM(Q8:Q58)</f>
        <v>2040</v>
      </c>
      <c r="R59" s="106">
        <f>SUM(R10:R58)</f>
        <v>2040</v>
      </c>
    </row>
    <row r="60" ht="60" customHeight="1">
      <c r="A60" s="69" t="s">
        <v>7</v>
      </c>
      <c r="B60" s="70" t="s">
        <v>8</v>
      </c>
      <c r="C60" s="71"/>
      <c r="D60" s="71"/>
      <c r="E60" s="71"/>
      <c r="F60" s="71"/>
      <c r="G60" s="71"/>
      <c r="H60" s="71"/>
      <c r="I60" s="71"/>
      <c r="J60" s="71"/>
      <c r="K60" s="71"/>
      <c r="L60" s="107"/>
      <c r="M60" s="108" t="s">
        <v>9</v>
      </c>
      <c r="N60" s="108" t="s">
        <v>10</v>
      </c>
      <c r="O60" s="109" t="s">
        <v>11</v>
      </c>
      <c r="P60" s="110"/>
      <c r="Q60" s="108" t="s">
        <v>12</v>
      </c>
      <c r="R60" s="111" t="s">
        <v>12</v>
      </c>
    </row>
    <row r="61" ht="42.600000000000001" customHeight="1">
      <c r="A61" s="78"/>
      <c r="B61" s="112" t="s">
        <v>43</v>
      </c>
      <c r="C61" s="113"/>
      <c r="D61" s="113"/>
      <c r="E61" s="113"/>
      <c r="F61" s="113"/>
      <c r="G61" s="113"/>
      <c r="H61" s="113"/>
      <c r="I61" s="113"/>
      <c r="J61" s="113"/>
      <c r="K61" s="114"/>
      <c r="L61" s="53"/>
      <c r="M61" s="80"/>
      <c r="N61" s="80"/>
      <c r="O61" s="81"/>
      <c r="P61" s="82"/>
      <c r="Q61" s="81"/>
      <c r="R61" s="89"/>
    </row>
    <row r="62" ht="42.600000000000001" customHeight="1">
      <c r="A62" s="78"/>
      <c r="B62" s="84" t="s">
        <v>138</v>
      </c>
      <c r="C62" s="85"/>
      <c r="D62" s="85"/>
      <c r="E62" s="85"/>
      <c r="F62" s="85"/>
      <c r="G62" s="85"/>
      <c r="H62" s="85"/>
      <c r="I62" s="85"/>
      <c r="J62" s="85"/>
      <c r="K62" s="85"/>
      <c r="L62" s="115"/>
      <c r="M62" s="86"/>
      <c r="N62" s="86"/>
      <c r="O62" s="87"/>
      <c r="P62" s="88"/>
      <c r="Q62" s="87"/>
      <c r="R62" s="89"/>
    </row>
    <row r="63" ht="42.600000000000001" customHeight="1">
      <c r="A63" s="78"/>
      <c r="B63" s="116"/>
      <c r="C63" s="52"/>
      <c r="D63" s="54"/>
      <c r="E63" s="52"/>
      <c r="F63" s="52"/>
      <c r="G63" s="52"/>
      <c r="H63" s="52"/>
      <c r="I63" s="52"/>
      <c r="J63" s="52"/>
      <c r="K63" s="53"/>
      <c r="L63" s="53"/>
      <c r="M63" s="86"/>
      <c r="N63" s="86"/>
      <c r="O63" s="87"/>
      <c r="P63" s="88"/>
      <c r="Q63" s="87"/>
      <c r="R63" s="89"/>
    </row>
    <row r="64" ht="42.600000000000001" customHeight="1">
      <c r="A64" s="117" t="s">
        <v>15</v>
      </c>
      <c r="B64" s="118" t="s">
        <v>47</v>
      </c>
      <c r="C64" s="119"/>
      <c r="D64" s="119"/>
      <c r="E64" s="119"/>
      <c r="F64" s="119"/>
      <c r="G64" s="119"/>
      <c r="H64" s="119"/>
      <c r="I64" s="119"/>
      <c r="J64" s="119"/>
      <c r="K64" s="119"/>
      <c r="L64" s="120"/>
      <c r="M64" s="86"/>
      <c r="N64" s="86"/>
      <c r="O64" s="121"/>
      <c r="P64" s="122"/>
      <c r="Q64" s="87"/>
      <c r="R64" s="89"/>
    </row>
    <row r="65" ht="42.600000000000001" customHeight="1">
      <c r="A65" s="93"/>
      <c r="B65" s="123" t="s">
        <v>48</v>
      </c>
      <c r="C65" s="101"/>
      <c r="D65" s="101"/>
      <c r="E65" s="101"/>
      <c r="F65" s="101"/>
      <c r="G65" s="101"/>
      <c r="H65" s="101"/>
      <c r="I65" s="101"/>
      <c r="J65" s="101"/>
      <c r="K65" s="53"/>
      <c r="L65" s="53"/>
      <c r="M65" s="89"/>
      <c r="N65" s="89"/>
      <c r="O65" s="121"/>
      <c r="P65" s="122"/>
      <c r="Q65" s="121"/>
      <c r="R65" s="89"/>
    </row>
    <row r="66" ht="42.600000000000001" customHeight="1">
      <c r="A66" s="93"/>
      <c r="B66" s="123" t="s">
        <v>49</v>
      </c>
      <c r="C66" s="101"/>
      <c r="D66" s="101"/>
      <c r="E66" s="101"/>
      <c r="F66" s="101"/>
      <c r="G66" s="101"/>
      <c r="H66" s="101"/>
      <c r="I66" s="101"/>
      <c r="J66" s="101"/>
      <c r="K66" s="53"/>
      <c r="L66" s="53"/>
      <c r="M66" s="89"/>
      <c r="N66" s="89"/>
      <c r="O66" s="121"/>
      <c r="P66" s="122"/>
      <c r="Q66" s="121"/>
      <c r="R66" s="89"/>
    </row>
    <row r="67" ht="42.600000000000001" customHeight="1">
      <c r="A67" s="93"/>
      <c r="B67" s="124" t="s">
        <v>50</v>
      </c>
      <c r="C67" s="56"/>
      <c r="D67" s="56"/>
      <c r="E67" s="56"/>
      <c r="F67" s="56"/>
      <c r="G67" s="125"/>
      <c r="H67" s="126"/>
      <c r="I67" s="126"/>
      <c r="J67" s="127"/>
      <c r="K67" s="53"/>
      <c r="L67" s="53"/>
      <c r="M67" s="89"/>
      <c r="N67" s="89"/>
      <c r="O67" s="97"/>
      <c r="P67" s="98"/>
      <c r="Q67" s="97"/>
      <c r="R67" s="89"/>
    </row>
    <row r="68" ht="42.600000000000001" customHeight="1">
      <c r="A68" s="93"/>
      <c r="B68" s="56">
        <v>4</v>
      </c>
      <c r="C68" s="56" t="s">
        <v>139</v>
      </c>
      <c r="D68" s="56" t="s">
        <v>140</v>
      </c>
      <c r="E68" s="56">
        <v>2</v>
      </c>
      <c r="F68" s="56" t="s">
        <v>141</v>
      </c>
      <c r="G68" s="125"/>
      <c r="H68" s="126" t="s">
        <v>140</v>
      </c>
      <c r="I68" s="128">
        <v>1.8</v>
      </c>
      <c r="J68" s="129" t="s">
        <v>142</v>
      </c>
      <c r="K68" s="53"/>
      <c r="L68" s="53"/>
      <c r="M68" s="89" t="s">
        <v>143</v>
      </c>
      <c r="N68" s="100">
        <f t="shared" ref="N68:N69" si="5">B68*E68*I68</f>
        <v>14.4</v>
      </c>
      <c r="O68" s="97">
        <v>53.399999999999999</v>
      </c>
      <c r="P68" s="98"/>
      <c r="Q68" s="97">
        <f>N68*O68</f>
        <v>768.96000000000004</v>
      </c>
      <c r="R68" s="89"/>
    </row>
    <row r="69" s="130" customFormat="1" ht="42.600000000000001" customHeight="1">
      <c r="A69" s="131"/>
      <c r="B69" s="132">
        <v>5</v>
      </c>
      <c r="C69" s="132" t="s">
        <v>139</v>
      </c>
      <c r="D69" s="132" t="s">
        <v>140</v>
      </c>
      <c r="E69" s="132">
        <v>2</v>
      </c>
      <c r="F69" s="132" t="s">
        <v>141</v>
      </c>
      <c r="G69" s="133"/>
      <c r="H69" s="134" t="s">
        <v>140</v>
      </c>
      <c r="I69" s="135">
        <v>1.8</v>
      </c>
      <c r="J69" s="136" t="s">
        <v>142</v>
      </c>
      <c r="K69" s="137"/>
      <c r="L69" s="137"/>
      <c r="M69" s="138" t="s">
        <v>143</v>
      </c>
      <c r="N69" s="139">
        <f t="shared" si="5"/>
        <v>18</v>
      </c>
      <c r="O69" s="140">
        <v>53.399999999999999</v>
      </c>
      <c r="P69" s="141"/>
      <c r="R69" s="140">
        <f>N69*O69</f>
        <v>961.19999999999993</v>
      </c>
    </row>
    <row r="70" ht="42.600000000000001" customHeight="1">
      <c r="A70" s="93"/>
      <c r="B70" s="142"/>
      <c r="C70" s="101"/>
      <c r="D70" s="101"/>
      <c r="E70" s="101"/>
      <c r="F70" s="101"/>
      <c r="G70" s="101"/>
      <c r="H70" s="101"/>
      <c r="I70" s="101"/>
      <c r="J70" s="101"/>
      <c r="K70" s="53"/>
      <c r="L70" s="53"/>
      <c r="M70" s="89"/>
      <c r="N70" s="89"/>
      <c r="O70" s="121"/>
      <c r="P70" s="122"/>
      <c r="Q70" s="121"/>
      <c r="R70" s="89"/>
    </row>
    <row r="71" ht="42.600000000000001" customHeight="1">
      <c r="A71" s="93" t="s">
        <v>31</v>
      </c>
      <c r="B71" s="143" t="s">
        <v>144</v>
      </c>
      <c r="C71" s="101"/>
      <c r="D71" s="101"/>
      <c r="E71" s="101"/>
      <c r="F71" s="101"/>
      <c r="G71" s="101"/>
      <c r="H71" s="101"/>
      <c r="I71" s="101"/>
      <c r="J71" s="101"/>
      <c r="K71" s="53"/>
      <c r="L71" s="53"/>
      <c r="M71" s="89"/>
      <c r="N71" s="89"/>
      <c r="O71" s="121"/>
      <c r="P71" s="122"/>
      <c r="Q71" s="121"/>
      <c r="R71" s="89"/>
    </row>
    <row r="72" ht="42.600000000000001" customHeight="1">
      <c r="A72" s="93"/>
      <c r="B72" s="144" t="s">
        <v>145</v>
      </c>
      <c r="D72" s="101"/>
      <c r="E72" s="101"/>
      <c r="F72" s="101"/>
      <c r="G72" s="101"/>
      <c r="H72" s="101"/>
      <c r="I72" s="101"/>
      <c r="J72" s="101"/>
      <c r="K72" s="53"/>
      <c r="L72" s="53"/>
      <c r="M72" s="89"/>
      <c r="N72" s="89"/>
      <c r="O72" s="121"/>
      <c r="P72" s="122"/>
      <c r="Q72" s="97"/>
      <c r="R72" s="89"/>
    </row>
    <row r="73" ht="42.600000000000001" customHeight="1">
      <c r="A73" s="93"/>
      <c r="B73" s="144" t="s">
        <v>146</v>
      </c>
      <c r="D73" s="101"/>
      <c r="E73" s="101"/>
      <c r="F73" s="101"/>
      <c r="G73" s="101"/>
      <c r="H73" s="101"/>
      <c r="I73" s="101"/>
      <c r="J73" s="101"/>
      <c r="K73" s="53"/>
      <c r="L73" s="53"/>
      <c r="M73" s="89"/>
      <c r="N73" s="89"/>
      <c r="O73" s="121"/>
      <c r="P73" s="122"/>
      <c r="Q73" s="121"/>
      <c r="R73" s="89"/>
    </row>
    <row r="74" ht="42.600000000000001" customHeight="1">
      <c r="A74" s="93"/>
      <c r="B74" s="145" t="s">
        <v>147</v>
      </c>
      <c r="C74" s="56"/>
      <c r="D74" s="56"/>
      <c r="E74" s="56"/>
      <c r="F74" s="56"/>
      <c r="G74" s="125"/>
      <c r="H74" s="101"/>
      <c r="I74" s="101"/>
      <c r="J74" s="101"/>
      <c r="K74" s="53"/>
      <c r="L74" s="53"/>
      <c r="M74" s="89" t="s">
        <v>102</v>
      </c>
      <c r="N74" s="89">
        <v>4</v>
      </c>
      <c r="O74" s="97">
        <v>791.89999999999998</v>
      </c>
      <c r="P74" s="98"/>
      <c r="Q74" s="97">
        <f>N74*O74</f>
        <v>3167.5999999999999</v>
      </c>
      <c r="R74" s="89"/>
    </row>
    <row r="75" ht="42.600000000000001" customHeight="1">
      <c r="A75" s="93"/>
      <c r="B75" s="103"/>
      <c r="C75" s="101"/>
      <c r="D75" s="101"/>
      <c r="E75" s="101"/>
      <c r="F75" s="101"/>
      <c r="G75" s="101"/>
      <c r="H75" s="101"/>
      <c r="I75" s="101"/>
      <c r="J75" s="101"/>
      <c r="K75" s="53"/>
      <c r="L75" s="53"/>
      <c r="M75" s="138" t="s">
        <v>102</v>
      </c>
      <c r="N75" s="138">
        <v>5</v>
      </c>
      <c r="O75" s="140">
        <v>791.89999999999998</v>
      </c>
      <c r="P75" s="141"/>
      <c r="Q75" s="130"/>
      <c r="R75" s="140">
        <f>N75*O75</f>
        <v>3959.5</v>
      </c>
    </row>
    <row r="76" ht="42.600000000000001" customHeight="1">
      <c r="A76" s="93" t="s">
        <v>39</v>
      </c>
      <c r="B76" s="146" t="s">
        <v>148</v>
      </c>
      <c r="C76" s="101"/>
      <c r="D76" s="101"/>
      <c r="E76" s="101"/>
      <c r="F76" s="101"/>
      <c r="G76" s="101"/>
      <c r="H76" s="101"/>
      <c r="I76" s="101"/>
      <c r="J76" s="101"/>
      <c r="K76" s="53"/>
      <c r="L76" s="53"/>
      <c r="M76" s="96"/>
      <c r="N76" s="89"/>
      <c r="O76" s="97"/>
      <c r="P76" s="98"/>
      <c r="Q76" s="121"/>
      <c r="R76" s="89"/>
    </row>
    <row r="77" ht="42.600000000000001" customHeight="1">
      <c r="A77" s="104"/>
      <c r="B77" s="147" t="s">
        <v>149</v>
      </c>
      <c r="C77" s="148"/>
      <c r="D77" s="148"/>
      <c r="E77" s="148"/>
      <c r="F77" s="148"/>
      <c r="G77" s="148"/>
      <c r="H77" s="148"/>
      <c r="I77" s="148"/>
      <c r="J77" s="148"/>
      <c r="K77" s="148"/>
      <c r="L77" s="149"/>
      <c r="M77" s="89"/>
      <c r="N77" s="89"/>
      <c r="O77" s="121"/>
      <c r="P77" s="122"/>
      <c r="Q77" s="97"/>
      <c r="R77" s="89"/>
    </row>
    <row r="78" ht="42.600000000000001" customHeight="1">
      <c r="A78" s="104"/>
      <c r="B78" s="144" t="s">
        <v>150</v>
      </c>
      <c r="C78" s="56"/>
      <c r="D78" s="56"/>
      <c r="E78" s="56"/>
      <c r="F78" s="56"/>
      <c r="G78" s="125"/>
      <c r="H78" s="56"/>
      <c r="I78" s="125"/>
      <c r="J78" s="125"/>
      <c r="K78" s="53"/>
      <c r="L78" s="53"/>
      <c r="M78" s="89"/>
      <c r="N78" s="89"/>
      <c r="O78" s="121"/>
      <c r="P78" s="122"/>
      <c r="Q78" s="97"/>
      <c r="R78" s="89"/>
    </row>
    <row r="79" ht="42.600000000000001" customHeight="1">
      <c r="A79" s="93"/>
      <c r="B79" s="144" t="s">
        <v>151</v>
      </c>
      <c r="C79" s="56"/>
      <c r="D79" s="56"/>
      <c r="E79" s="150"/>
      <c r="F79" s="56"/>
      <c r="G79" s="151"/>
      <c r="H79" s="56"/>
      <c r="I79" s="125"/>
      <c r="J79" s="92"/>
      <c r="K79" s="53"/>
      <c r="L79" s="53"/>
      <c r="M79" s="89"/>
      <c r="N79" s="152"/>
      <c r="O79" s="97"/>
      <c r="P79" s="98"/>
      <c r="Q79" s="99"/>
      <c r="R79" s="89"/>
    </row>
    <row r="80" ht="42.600000000000001" customHeight="1">
      <c r="A80" s="117"/>
      <c r="B80" s="144" t="s">
        <v>152</v>
      </c>
      <c r="C80" s="52"/>
      <c r="D80" s="54"/>
      <c r="E80" s="52"/>
      <c r="F80" s="52"/>
      <c r="G80" s="52"/>
      <c r="H80" s="52"/>
      <c r="I80" s="52"/>
      <c r="J80" s="52"/>
      <c r="K80" s="53"/>
      <c r="L80" s="53"/>
      <c r="M80" s="89"/>
      <c r="N80" s="89"/>
      <c r="O80" s="121"/>
      <c r="P80" s="122"/>
      <c r="Q80" s="121"/>
      <c r="R80" s="89"/>
    </row>
    <row r="81" ht="42.600000000000001" customHeight="1">
      <c r="A81" s="117"/>
      <c r="B81" s="145" t="s">
        <v>153</v>
      </c>
      <c r="C81" s="153"/>
      <c r="D81" s="153"/>
      <c r="E81" s="153"/>
      <c r="F81" s="153"/>
      <c r="G81" s="153"/>
      <c r="H81" s="153"/>
      <c r="I81" s="153"/>
      <c r="J81" s="153"/>
      <c r="K81" s="53"/>
      <c r="L81" s="53"/>
      <c r="M81" s="89" t="s">
        <v>97</v>
      </c>
      <c r="N81" s="89">
        <v>2</v>
      </c>
      <c r="O81" s="154">
        <v>822.79999999999995</v>
      </c>
      <c r="P81" s="155"/>
      <c r="Q81" s="97">
        <f>N81*O81</f>
        <v>1645.5999999999999</v>
      </c>
      <c r="R81" s="100">
        <f>Q81</f>
        <v>1645.5999999999999</v>
      </c>
    </row>
    <row r="82" ht="42.600000000000001" customHeight="1">
      <c r="A82" s="117"/>
      <c r="C82" s="153"/>
      <c r="D82" s="153"/>
      <c r="E82" s="153"/>
      <c r="F82" s="153"/>
      <c r="G82" s="153"/>
      <c r="H82" s="153"/>
      <c r="I82" s="153"/>
      <c r="J82" s="153"/>
      <c r="K82" s="156"/>
      <c r="L82" s="53"/>
      <c r="M82" s="89"/>
      <c r="N82" s="52"/>
      <c r="O82" s="154"/>
      <c r="P82" s="155"/>
      <c r="Q82" s="52"/>
      <c r="R82" s="89"/>
    </row>
    <row r="83" ht="42.600000000000001" customHeight="1">
      <c r="A83" s="117" t="s">
        <v>66</v>
      </c>
      <c r="B83" s="119" t="s">
        <v>90</v>
      </c>
      <c r="C83" s="153"/>
      <c r="D83" s="153"/>
      <c r="E83" s="153"/>
      <c r="F83" s="153"/>
      <c r="G83" s="153"/>
      <c r="H83" s="153"/>
      <c r="I83" s="153"/>
      <c r="J83" s="153"/>
      <c r="K83" s="53"/>
      <c r="L83" s="53"/>
      <c r="M83" s="89"/>
      <c r="N83" s="89"/>
      <c r="O83" s="121"/>
      <c r="P83" s="122"/>
      <c r="Q83" s="121"/>
      <c r="R83" s="89"/>
    </row>
    <row r="84" ht="42.600000000000001" customHeight="1">
      <c r="A84" s="117"/>
      <c r="B84" s="144" t="s">
        <v>91</v>
      </c>
      <c r="C84" s="52"/>
      <c r="D84" s="54"/>
      <c r="E84" s="52"/>
      <c r="F84" s="52"/>
      <c r="G84" s="52"/>
      <c r="H84" s="52"/>
      <c r="I84" s="52"/>
      <c r="J84" s="52"/>
      <c r="K84" s="53"/>
      <c r="L84" s="53"/>
      <c r="M84" s="86"/>
      <c r="N84" s="89"/>
      <c r="O84" s="121"/>
      <c r="P84" s="122"/>
      <c r="Q84" s="121"/>
      <c r="R84" s="89"/>
    </row>
    <row r="85" ht="42.600000000000001" customHeight="1">
      <c r="A85" s="93"/>
      <c r="B85" s="144" t="s">
        <v>92</v>
      </c>
      <c r="C85" s="56"/>
      <c r="D85" s="56"/>
      <c r="E85" s="150"/>
      <c r="F85" s="56"/>
      <c r="G85" s="151"/>
      <c r="H85" s="52"/>
      <c r="I85" s="52"/>
      <c r="J85" s="92"/>
      <c r="K85" s="53"/>
      <c r="L85" s="53"/>
      <c r="M85" s="89"/>
      <c r="N85" s="152"/>
      <c r="O85" s="97"/>
      <c r="P85" s="98"/>
      <c r="Q85" s="99"/>
      <c r="R85" s="89"/>
    </row>
    <row r="86" ht="42.600000000000001" customHeight="1">
      <c r="A86" s="117"/>
      <c r="B86" s="52" t="s">
        <v>93</v>
      </c>
      <c r="C86" s="56"/>
      <c r="D86" s="56"/>
      <c r="E86" s="56"/>
      <c r="F86" s="56"/>
      <c r="G86" s="125"/>
      <c r="H86" s="52"/>
      <c r="I86" s="52"/>
      <c r="J86" s="127"/>
      <c r="K86" s="53"/>
      <c r="L86" s="53"/>
      <c r="M86" s="89" t="s">
        <v>143</v>
      </c>
      <c r="N86" s="89">
        <f>4*1*0.9</f>
        <v>3.6000000000000001</v>
      </c>
      <c r="O86" s="97">
        <v>384.69999999999999</v>
      </c>
      <c r="P86" s="98"/>
      <c r="Q86" s="97">
        <f>N86*O86</f>
        <v>1384.9200000000001</v>
      </c>
      <c r="R86" s="157" t="s">
        <v>154</v>
      </c>
    </row>
    <row r="87" ht="42.600000000000001" customHeight="1">
      <c r="A87" s="117"/>
      <c r="B87" s="56"/>
      <c r="C87" s="56"/>
      <c r="D87" s="56"/>
      <c r="E87" s="56"/>
      <c r="F87" s="56"/>
      <c r="G87" s="125"/>
      <c r="H87" s="158"/>
      <c r="I87" s="158"/>
      <c r="J87" s="127"/>
      <c r="K87" s="53"/>
      <c r="L87" s="53"/>
      <c r="M87" s="89"/>
      <c r="N87" s="89"/>
      <c r="O87" s="121"/>
      <c r="P87" s="122"/>
      <c r="Q87" s="97"/>
      <c r="R87" s="159"/>
    </row>
    <row r="88" ht="42.600000000000001" customHeight="1">
      <c r="A88" s="117" t="s">
        <v>72</v>
      </c>
      <c r="B88" s="160" t="s">
        <v>67</v>
      </c>
      <c r="C88" s="56"/>
      <c r="D88" s="56"/>
      <c r="E88" s="56"/>
      <c r="F88" s="56"/>
      <c r="G88" s="125"/>
      <c r="H88" s="158"/>
      <c r="I88" s="158"/>
      <c r="J88" s="127"/>
      <c r="K88" s="53"/>
      <c r="L88" s="53"/>
      <c r="M88" s="89"/>
      <c r="N88" s="89"/>
      <c r="O88" s="121"/>
      <c r="P88" s="122"/>
      <c r="Q88" s="97"/>
      <c r="R88" s="159"/>
    </row>
    <row r="89" ht="42.600000000000001" customHeight="1">
      <c r="A89" s="117"/>
      <c r="B89" s="144" t="s">
        <v>68</v>
      </c>
      <c r="C89" s="56"/>
      <c r="D89" s="56"/>
      <c r="E89" s="56"/>
      <c r="F89" s="56"/>
      <c r="G89" s="125"/>
      <c r="H89" s="158"/>
      <c r="I89" s="158"/>
      <c r="J89" s="127"/>
      <c r="K89" s="53"/>
      <c r="L89" s="53"/>
      <c r="M89" s="89"/>
      <c r="N89" s="89"/>
      <c r="O89" s="121"/>
      <c r="P89" s="122"/>
      <c r="Q89" s="97"/>
      <c r="R89" s="159"/>
    </row>
    <row r="90" ht="42.600000000000001" customHeight="1">
      <c r="A90" s="117"/>
      <c r="B90" s="144" t="s">
        <v>155</v>
      </c>
      <c r="C90" s="56"/>
      <c r="D90" s="56"/>
      <c r="E90" s="56"/>
      <c r="F90" s="56"/>
      <c r="G90" s="125"/>
      <c r="H90" s="158"/>
      <c r="I90" s="158"/>
      <c r="J90" s="127"/>
      <c r="K90" s="53"/>
      <c r="L90" s="53"/>
      <c r="M90" s="89"/>
      <c r="N90" s="89"/>
      <c r="O90" s="121"/>
      <c r="P90" s="122"/>
      <c r="Q90" s="97"/>
      <c r="R90" s="159"/>
    </row>
    <row r="91" ht="42.600000000000001" customHeight="1">
      <c r="A91" s="117"/>
      <c r="B91" s="144" t="s">
        <v>96</v>
      </c>
      <c r="C91" s="56"/>
      <c r="D91" s="56"/>
      <c r="E91" s="56"/>
      <c r="F91" s="56"/>
      <c r="G91" s="125"/>
      <c r="H91" s="158"/>
      <c r="I91" s="158"/>
      <c r="J91" s="127"/>
      <c r="K91" s="53"/>
      <c r="L91" s="53"/>
      <c r="M91" s="89" t="s">
        <v>156</v>
      </c>
      <c r="N91" s="89">
        <f>4*1.5</f>
        <v>6</v>
      </c>
      <c r="O91" s="121">
        <v>68.109999999999999</v>
      </c>
      <c r="P91" s="122"/>
      <c r="Q91" s="97">
        <f>N91*O91</f>
        <v>408.65999999999997</v>
      </c>
      <c r="R91" s="159" t="s">
        <v>154</v>
      </c>
    </row>
    <row r="92" ht="42.600000000000001" customHeight="1">
      <c r="A92" s="117"/>
      <c r="B92" s="56"/>
      <c r="C92" s="56"/>
      <c r="D92" s="56"/>
      <c r="E92" s="56"/>
      <c r="F92" s="56"/>
      <c r="G92" s="125"/>
      <c r="H92" s="158"/>
      <c r="I92" s="158"/>
      <c r="J92" s="127"/>
      <c r="K92" s="53"/>
      <c r="L92" s="53"/>
      <c r="M92" s="89"/>
      <c r="N92" s="89"/>
      <c r="O92" s="121"/>
      <c r="P92" s="122"/>
      <c r="Q92" s="97"/>
      <c r="R92" s="159"/>
    </row>
    <row r="93" ht="42.600000000000001" customHeight="1">
      <c r="A93" s="117" t="s">
        <v>78</v>
      </c>
      <c r="B93" s="161" t="s">
        <v>61</v>
      </c>
      <c r="C93" s="56"/>
      <c r="D93" s="56"/>
      <c r="E93" s="56"/>
      <c r="F93" s="56"/>
      <c r="G93" s="125"/>
      <c r="H93" s="158"/>
      <c r="I93" s="158"/>
      <c r="J93" s="127"/>
      <c r="K93" s="53"/>
      <c r="L93" s="53"/>
      <c r="M93" s="89"/>
      <c r="N93" s="89"/>
      <c r="O93" s="121"/>
      <c r="P93" s="122"/>
      <c r="Q93" s="97"/>
      <c r="R93" s="159"/>
    </row>
    <row r="94" ht="42.600000000000001" customHeight="1">
      <c r="A94" s="117"/>
      <c r="B94" s="162" t="s">
        <v>98</v>
      </c>
      <c r="C94" s="56"/>
      <c r="D94" s="56"/>
      <c r="E94" s="56"/>
      <c r="F94" s="56"/>
      <c r="G94" s="125"/>
      <c r="H94" s="158"/>
      <c r="I94" s="158"/>
      <c r="J94" s="127"/>
      <c r="K94" s="53"/>
      <c r="L94" s="53"/>
      <c r="M94" s="89"/>
      <c r="N94" s="89"/>
      <c r="O94" s="121"/>
      <c r="P94" s="122"/>
      <c r="Q94" s="97"/>
      <c r="R94" s="159"/>
    </row>
    <row r="95" ht="42.600000000000001" customHeight="1">
      <c r="A95" s="117"/>
      <c r="B95" s="145" t="s">
        <v>157</v>
      </c>
      <c r="C95" s="56"/>
      <c r="D95" s="56"/>
      <c r="E95" s="56"/>
      <c r="F95" s="56"/>
      <c r="G95" s="125"/>
      <c r="H95" s="158"/>
      <c r="I95" s="158"/>
      <c r="J95" s="127"/>
      <c r="K95" s="53"/>
      <c r="L95" s="53"/>
      <c r="M95" s="89"/>
      <c r="N95" s="89"/>
      <c r="O95" s="121"/>
      <c r="P95" s="122"/>
      <c r="Q95" s="97"/>
      <c r="R95" s="159"/>
    </row>
    <row r="96" ht="42.600000000000001" customHeight="1">
      <c r="A96" s="117"/>
      <c r="B96" s="163" t="s">
        <v>100</v>
      </c>
      <c r="C96" s="56"/>
      <c r="D96" s="56"/>
      <c r="E96" s="56"/>
      <c r="F96" s="56"/>
      <c r="G96" s="125"/>
      <c r="H96" s="158"/>
      <c r="I96" s="158"/>
      <c r="J96" s="127"/>
      <c r="K96" s="53"/>
      <c r="L96" s="53"/>
      <c r="M96" s="89" t="s">
        <v>156</v>
      </c>
      <c r="N96" s="89">
        <f>4*1.5</f>
        <v>6</v>
      </c>
      <c r="O96" s="121">
        <v>101.8</v>
      </c>
      <c r="P96" s="122"/>
      <c r="Q96" s="97">
        <f>N96*O96</f>
        <v>610.79999999999995</v>
      </c>
      <c r="R96" s="159" t="s">
        <v>154</v>
      </c>
    </row>
    <row r="97" ht="42.600000000000001" customHeight="1">
      <c r="A97" s="117"/>
      <c r="B97" s="56"/>
      <c r="C97" s="56"/>
      <c r="D97" s="56"/>
      <c r="E97" s="56"/>
      <c r="F97" s="56"/>
      <c r="G97" s="125"/>
      <c r="H97" s="158"/>
      <c r="I97" s="158"/>
      <c r="J97" s="127"/>
      <c r="K97" s="53"/>
      <c r="L97" s="53"/>
      <c r="M97" s="89"/>
      <c r="N97" s="89"/>
      <c r="O97" s="121"/>
      <c r="P97" s="122"/>
      <c r="Q97" s="97"/>
      <c r="R97" s="159"/>
    </row>
    <row r="98" ht="42.600000000000001" customHeight="1">
      <c r="A98" s="117" t="s">
        <v>85</v>
      </c>
      <c r="B98" s="164" t="s">
        <v>73</v>
      </c>
      <c r="C98" s="56"/>
      <c r="D98" s="56"/>
      <c r="E98" s="56"/>
      <c r="F98" s="56"/>
      <c r="G98" s="125"/>
      <c r="H98" s="158"/>
      <c r="I98" s="158"/>
      <c r="J98" s="127"/>
      <c r="K98" s="53"/>
      <c r="L98" s="53"/>
      <c r="M98" s="89"/>
      <c r="N98" s="89"/>
      <c r="O98" s="121"/>
      <c r="P98" s="122"/>
      <c r="Q98" s="97"/>
      <c r="R98" s="159"/>
    </row>
    <row r="99" ht="42.600000000000001" customHeight="1">
      <c r="A99" s="117"/>
      <c r="B99" s="145" t="s">
        <v>158</v>
      </c>
      <c r="C99" s="56"/>
      <c r="D99" s="56"/>
      <c r="E99" s="56"/>
      <c r="F99" s="56"/>
      <c r="G99" s="125"/>
      <c r="H99" s="158"/>
      <c r="I99" s="158"/>
      <c r="J99" s="127"/>
      <c r="K99" s="53"/>
      <c r="L99" s="53"/>
      <c r="M99" s="89"/>
      <c r="N99" s="89"/>
      <c r="O99" s="121"/>
      <c r="P99" s="122"/>
      <c r="Q99" s="97"/>
      <c r="R99" s="159"/>
    </row>
    <row r="100" ht="42.600000000000001" customHeight="1">
      <c r="A100" s="117"/>
      <c r="B100" s="145" t="s">
        <v>75</v>
      </c>
      <c r="C100" s="56"/>
      <c r="D100" s="56"/>
      <c r="E100" s="56"/>
      <c r="F100" s="56"/>
      <c r="G100" s="125"/>
      <c r="H100" s="158"/>
      <c r="I100" s="158"/>
      <c r="J100" s="127"/>
      <c r="K100" s="53"/>
      <c r="L100" s="53"/>
      <c r="M100" s="89"/>
      <c r="N100" s="89"/>
      <c r="O100" s="121"/>
      <c r="P100" s="122"/>
      <c r="Q100" s="97"/>
      <c r="R100" s="159"/>
    </row>
    <row r="101" ht="42.600000000000001" customHeight="1">
      <c r="A101" s="117"/>
      <c r="B101" s="165" t="s">
        <v>159</v>
      </c>
      <c r="C101" s="56"/>
      <c r="D101" s="56"/>
      <c r="E101" s="56"/>
      <c r="F101" s="56"/>
      <c r="G101" s="125"/>
      <c r="H101" s="158"/>
      <c r="I101" s="158"/>
      <c r="J101" s="127"/>
      <c r="K101" s="53"/>
      <c r="L101" s="53"/>
      <c r="M101" s="89"/>
      <c r="N101" s="89"/>
      <c r="O101" s="121"/>
      <c r="P101" s="122"/>
      <c r="Q101" s="97"/>
      <c r="R101" s="159"/>
    </row>
    <row r="102" ht="42.600000000000001" customHeight="1">
      <c r="A102" s="117"/>
      <c r="B102" s="145" t="s">
        <v>160</v>
      </c>
      <c r="C102" s="56"/>
      <c r="D102" s="56"/>
      <c r="E102" s="56"/>
      <c r="F102" s="56"/>
      <c r="G102" s="125"/>
      <c r="H102" s="158"/>
      <c r="I102" s="158"/>
      <c r="J102" s="127"/>
      <c r="K102" s="53"/>
      <c r="L102" s="53"/>
      <c r="M102" s="89" t="s">
        <v>156</v>
      </c>
      <c r="N102" s="89">
        <f>4*1.5</f>
        <v>6</v>
      </c>
      <c r="O102" s="121">
        <v>91.909999999999997</v>
      </c>
      <c r="P102" s="122"/>
      <c r="Q102" s="97">
        <f>N102*O102</f>
        <v>551.46000000000004</v>
      </c>
      <c r="R102" s="159" t="s">
        <v>154</v>
      </c>
      <c r="U102" s="166"/>
    </row>
    <row r="103" ht="42.600000000000001" customHeight="1">
      <c r="A103" s="117"/>
      <c r="B103" s="56"/>
      <c r="C103" s="56"/>
      <c r="D103" s="56"/>
      <c r="E103" s="56"/>
      <c r="F103" s="56"/>
      <c r="G103" s="125"/>
      <c r="H103" s="158"/>
      <c r="I103" s="158"/>
      <c r="J103" s="127"/>
      <c r="K103" s="53"/>
      <c r="L103" s="53"/>
      <c r="M103" s="89"/>
      <c r="N103" s="89"/>
      <c r="O103" s="121"/>
      <c r="P103" s="122"/>
      <c r="Q103" s="97"/>
      <c r="R103" s="89"/>
    </row>
    <row r="104" ht="42.600000000000001" customHeight="1">
      <c r="A104" s="117"/>
      <c r="B104" s="56"/>
      <c r="C104" s="56"/>
      <c r="D104" s="56"/>
      <c r="E104" s="56"/>
      <c r="F104" s="56"/>
      <c r="G104" s="125"/>
      <c r="H104" s="158"/>
      <c r="I104" s="158"/>
      <c r="J104" s="127"/>
      <c r="K104" s="53"/>
      <c r="L104" s="53"/>
      <c r="M104" s="89"/>
      <c r="N104" s="89"/>
      <c r="O104" s="121"/>
      <c r="P104" s="122"/>
      <c r="Q104" s="97"/>
      <c r="R104" s="89"/>
    </row>
    <row r="105" ht="42.600000000000001" customHeight="1">
      <c r="A105" s="117" t="s">
        <v>161</v>
      </c>
      <c r="B105" s="90" t="s">
        <v>162</v>
      </c>
      <c r="C105" s="56"/>
      <c r="D105" s="56"/>
      <c r="E105" s="56"/>
      <c r="F105" s="56"/>
      <c r="G105" s="125"/>
      <c r="H105" s="158"/>
      <c r="I105" s="158"/>
      <c r="J105" s="127"/>
      <c r="K105" s="53"/>
      <c r="L105" s="53"/>
      <c r="M105" s="89"/>
      <c r="N105" s="89"/>
      <c r="O105" s="121"/>
      <c r="P105" s="122"/>
      <c r="Q105" s="97"/>
      <c r="R105" s="89"/>
    </row>
    <row r="106" ht="42.600000000000001" customHeight="1">
      <c r="A106" s="117"/>
      <c r="B106" s="167" t="s">
        <v>163</v>
      </c>
      <c r="C106" s="56"/>
      <c r="D106" s="56"/>
      <c r="E106" s="56"/>
      <c r="F106" s="56"/>
      <c r="G106" s="125"/>
      <c r="H106" s="158"/>
      <c r="I106" s="158"/>
      <c r="J106" s="127"/>
      <c r="K106" s="53"/>
      <c r="L106" s="53"/>
      <c r="M106" s="89"/>
      <c r="N106" s="89"/>
      <c r="O106" s="121"/>
      <c r="P106" s="122"/>
      <c r="Q106" s="97"/>
      <c r="R106" s="89"/>
    </row>
    <row r="107" ht="42.600000000000001" customHeight="1">
      <c r="A107" s="117"/>
      <c r="B107" s="167" t="s">
        <v>164</v>
      </c>
      <c r="C107" s="56"/>
      <c r="D107" s="56"/>
      <c r="E107" s="56"/>
      <c r="F107" s="56"/>
      <c r="G107" s="125"/>
      <c r="H107" s="158"/>
      <c r="I107" s="158"/>
      <c r="J107" s="127"/>
      <c r="K107" s="53"/>
      <c r="L107" s="53"/>
      <c r="M107" s="89"/>
      <c r="N107" s="89"/>
      <c r="O107" s="121"/>
      <c r="P107" s="122"/>
      <c r="Q107" s="97"/>
      <c r="R107" s="89"/>
    </row>
    <row r="108" ht="42.600000000000001" customHeight="1">
      <c r="A108" s="117"/>
      <c r="B108" s="167" t="s">
        <v>165</v>
      </c>
      <c r="C108" s="56"/>
      <c r="D108" s="56"/>
      <c r="E108" s="56"/>
      <c r="F108" s="56"/>
      <c r="G108" s="125"/>
      <c r="H108" s="158"/>
      <c r="I108" s="158"/>
      <c r="J108" s="127"/>
      <c r="K108" s="53"/>
      <c r="L108" s="53"/>
      <c r="M108" s="138" t="s">
        <v>156</v>
      </c>
      <c r="N108" s="138">
        <f>10*4</f>
        <v>40</v>
      </c>
      <c r="O108" s="168">
        <v>46.899999999999999</v>
      </c>
      <c r="P108" s="169"/>
      <c r="Q108" s="130"/>
      <c r="R108" s="140">
        <f>N108*O108</f>
        <v>1876</v>
      </c>
    </row>
    <row r="109" ht="42.600000000000001" customHeight="1">
      <c r="A109" s="117"/>
      <c r="B109" s="56"/>
      <c r="C109" s="56"/>
      <c r="D109" s="56"/>
      <c r="E109" s="56"/>
      <c r="F109" s="56"/>
      <c r="G109" s="125"/>
      <c r="H109" s="158"/>
      <c r="I109" s="158"/>
      <c r="J109" s="127"/>
      <c r="K109" s="53"/>
      <c r="L109" s="53"/>
      <c r="M109" s="89"/>
      <c r="N109" s="89"/>
      <c r="O109" s="121"/>
      <c r="P109" s="122"/>
      <c r="Q109" s="97"/>
      <c r="R109" s="89"/>
    </row>
    <row r="110" ht="42.600000000000001" customHeight="1">
      <c r="A110" s="117"/>
      <c r="B110" s="56"/>
      <c r="C110" s="56"/>
      <c r="D110" s="56"/>
      <c r="E110" s="56"/>
      <c r="F110" s="56"/>
      <c r="G110" s="125"/>
      <c r="H110" s="158"/>
      <c r="I110" s="158"/>
      <c r="J110" s="127"/>
      <c r="K110" s="53"/>
      <c r="L110" s="53"/>
      <c r="M110" s="89"/>
      <c r="N110" s="89"/>
      <c r="O110" s="121"/>
      <c r="P110" s="122"/>
      <c r="Q110" s="97"/>
      <c r="R110" s="89"/>
    </row>
    <row r="111" ht="42.600000000000001" customHeight="1">
      <c r="A111" s="117"/>
      <c r="B111" s="56"/>
      <c r="C111" s="56"/>
      <c r="D111" s="56"/>
      <c r="E111" s="56"/>
      <c r="F111" s="56"/>
      <c r="G111" s="125"/>
      <c r="H111" s="158"/>
      <c r="I111" s="158"/>
      <c r="J111" s="127"/>
      <c r="K111" s="53"/>
      <c r="L111" s="53"/>
      <c r="M111" s="89"/>
      <c r="N111" s="89"/>
      <c r="O111" s="121"/>
      <c r="P111" s="122"/>
      <c r="Q111" s="97"/>
      <c r="R111" s="89"/>
    </row>
    <row r="112" ht="42.600000000000001" customHeight="1">
      <c r="A112" s="117"/>
      <c r="B112" s="56"/>
      <c r="C112" s="56"/>
      <c r="D112" s="56"/>
      <c r="E112" s="56"/>
      <c r="F112" s="56"/>
      <c r="G112" s="125"/>
      <c r="H112" s="158"/>
      <c r="I112" s="158"/>
      <c r="J112" s="127"/>
      <c r="K112" s="53"/>
      <c r="L112" s="53"/>
      <c r="M112" s="89"/>
      <c r="N112" s="89"/>
      <c r="O112" s="121"/>
      <c r="P112" s="122"/>
      <c r="Q112" s="97"/>
      <c r="R112" s="89"/>
    </row>
    <row r="113" ht="42.600000000000001" customHeight="1">
      <c r="A113" s="117"/>
      <c r="B113" s="56"/>
      <c r="C113" s="56"/>
      <c r="D113" s="56"/>
      <c r="E113" s="56"/>
      <c r="F113" s="56"/>
      <c r="G113" s="125"/>
      <c r="H113" s="158"/>
      <c r="I113" s="158"/>
      <c r="J113" s="127"/>
      <c r="K113" s="53"/>
      <c r="L113" s="53"/>
      <c r="M113" s="89"/>
      <c r="N113" s="89"/>
      <c r="O113" s="121"/>
      <c r="P113" s="122"/>
      <c r="Q113" s="97"/>
      <c r="R113" s="89"/>
    </row>
    <row r="114" ht="42.600000000000001" customHeight="1">
      <c r="A114" s="117"/>
      <c r="B114" s="56"/>
      <c r="C114" s="56"/>
      <c r="D114" s="56"/>
      <c r="E114" s="56"/>
      <c r="F114" s="56"/>
      <c r="G114" s="125"/>
      <c r="H114" s="158"/>
      <c r="I114" s="158"/>
      <c r="J114" s="127"/>
      <c r="K114" s="53"/>
      <c r="L114" s="53"/>
      <c r="M114" s="89"/>
      <c r="N114" s="89"/>
      <c r="O114" s="121"/>
      <c r="P114" s="122"/>
      <c r="Q114" s="97"/>
      <c r="R114" s="89"/>
    </row>
    <row r="115" ht="42.600000000000001" customHeight="1">
      <c r="A115" s="117"/>
      <c r="B115" s="56"/>
      <c r="C115" s="56"/>
      <c r="D115" s="56"/>
      <c r="E115" s="56"/>
      <c r="F115" s="56"/>
      <c r="G115" s="125"/>
      <c r="H115" s="158"/>
      <c r="I115" s="158"/>
      <c r="J115" s="127"/>
      <c r="K115" s="53"/>
      <c r="L115" s="53"/>
      <c r="M115" s="89"/>
      <c r="N115" s="89"/>
      <c r="O115" s="121"/>
      <c r="P115" s="122"/>
      <c r="Q115" s="97"/>
      <c r="R115" s="89"/>
    </row>
    <row r="116" ht="42.600000000000001" customHeight="1">
      <c r="A116" s="117"/>
      <c r="B116" s="56"/>
      <c r="C116" s="56"/>
      <c r="D116" s="56"/>
      <c r="E116" s="56"/>
      <c r="F116" s="56"/>
      <c r="G116" s="125"/>
      <c r="H116" s="158"/>
      <c r="I116" s="158"/>
      <c r="J116" s="127"/>
      <c r="K116" s="53"/>
      <c r="L116" s="53"/>
      <c r="M116" s="89"/>
      <c r="N116" s="89"/>
      <c r="O116" s="121"/>
      <c r="P116" s="122"/>
      <c r="Q116" s="97"/>
      <c r="R116" s="89"/>
    </row>
    <row r="117" ht="42.600000000000001" customHeight="1">
      <c r="A117" s="117"/>
      <c r="B117" s="56"/>
      <c r="C117" s="56"/>
      <c r="D117" s="56"/>
      <c r="E117" s="56"/>
      <c r="F117" s="56"/>
      <c r="G117" s="125"/>
      <c r="H117" s="158"/>
      <c r="I117" s="158"/>
      <c r="J117" s="127"/>
      <c r="K117" s="53"/>
      <c r="L117" s="53"/>
      <c r="M117" s="89"/>
      <c r="N117" s="89"/>
      <c r="O117" s="121"/>
      <c r="P117" s="122"/>
      <c r="Q117" s="97"/>
      <c r="R117" s="89"/>
    </row>
    <row r="118" ht="42.600000000000001" customHeight="1">
      <c r="A118" s="117"/>
      <c r="B118" s="56"/>
      <c r="C118" s="56"/>
      <c r="D118" s="56"/>
      <c r="E118" s="56"/>
      <c r="F118" s="56"/>
      <c r="G118" s="125"/>
      <c r="H118" s="158"/>
      <c r="I118" s="158"/>
      <c r="J118" s="127"/>
      <c r="K118" s="53"/>
      <c r="L118" s="53"/>
      <c r="M118" s="89"/>
      <c r="N118" s="89"/>
      <c r="O118" s="121"/>
      <c r="P118" s="122"/>
      <c r="Q118" s="97"/>
      <c r="R118" s="89"/>
    </row>
    <row r="119" ht="42.600000000000001" customHeight="1">
      <c r="A119" s="66" t="s">
        <v>42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8"/>
      <c r="Q119" s="105">
        <f>SUM(Q61:Q118)</f>
        <v>8538</v>
      </c>
      <c r="R119" s="106">
        <f>SUM(R62:R118)</f>
        <v>8442.2999999999993</v>
      </c>
    </row>
    <row r="120" ht="60" customHeight="1">
      <c r="A120" s="69" t="s">
        <v>7</v>
      </c>
      <c r="B120" s="70" t="s">
        <v>8</v>
      </c>
      <c r="C120" s="71"/>
      <c r="D120" s="71"/>
      <c r="E120" s="71"/>
      <c r="F120" s="71"/>
      <c r="G120" s="71"/>
      <c r="H120" s="71"/>
      <c r="I120" s="71"/>
      <c r="J120" s="71"/>
      <c r="K120" s="71"/>
      <c r="L120" s="107"/>
      <c r="M120" s="108" t="s">
        <v>9</v>
      </c>
      <c r="N120" s="108" t="s">
        <v>10</v>
      </c>
      <c r="O120" s="109" t="s">
        <v>11</v>
      </c>
      <c r="P120" s="110"/>
      <c r="Q120" s="108" t="s">
        <v>12</v>
      </c>
      <c r="R120" s="111" t="s">
        <v>12</v>
      </c>
    </row>
    <row r="121" ht="42.600000000000001" customHeight="1">
      <c r="A121" s="78"/>
      <c r="B121" s="112" t="s">
        <v>89</v>
      </c>
      <c r="C121" s="113"/>
      <c r="D121" s="113"/>
      <c r="E121" s="113"/>
      <c r="F121" s="113"/>
      <c r="G121" s="113"/>
      <c r="H121" s="113"/>
      <c r="I121" s="113"/>
      <c r="J121" s="113"/>
      <c r="K121" s="114"/>
      <c r="L121" s="53"/>
      <c r="M121" s="80"/>
      <c r="N121" s="80"/>
      <c r="O121" s="81"/>
      <c r="P121" s="82"/>
      <c r="Q121" s="81"/>
      <c r="R121" s="89"/>
    </row>
    <row r="122" ht="42.600000000000001" customHeight="1">
      <c r="A122" s="78"/>
      <c r="B122" s="84" t="s">
        <v>138</v>
      </c>
      <c r="C122" s="85"/>
      <c r="D122" s="85"/>
      <c r="E122" s="85"/>
      <c r="F122" s="85"/>
      <c r="G122" s="85"/>
      <c r="H122" s="85"/>
      <c r="I122" s="85"/>
      <c r="J122" s="85"/>
      <c r="K122" s="85"/>
      <c r="L122" s="115"/>
      <c r="M122" s="86"/>
      <c r="N122" s="86"/>
      <c r="O122" s="87"/>
      <c r="P122" s="88"/>
      <c r="Q122" s="87"/>
      <c r="R122" s="89"/>
    </row>
    <row r="123" ht="42.600000000000001" customHeight="1">
      <c r="A123" s="78"/>
      <c r="B123" s="116"/>
      <c r="C123" s="52"/>
      <c r="D123" s="54"/>
      <c r="E123" s="52"/>
      <c r="F123" s="52"/>
      <c r="G123" s="52"/>
      <c r="H123" s="52"/>
      <c r="I123" s="52"/>
      <c r="J123" s="52"/>
      <c r="K123" s="53"/>
      <c r="L123" s="53"/>
      <c r="M123" s="86"/>
      <c r="N123" s="86"/>
      <c r="O123" s="87"/>
      <c r="P123" s="88"/>
      <c r="Q123" s="87"/>
      <c r="R123" s="89"/>
    </row>
    <row r="124" ht="42.600000000000001" customHeight="1">
      <c r="A124" s="117" t="s">
        <v>15</v>
      </c>
      <c r="B124" s="118" t="s">
        <v>47</v>
      </c>
      <c r="C124" s="119"/>
      <c r="D124" s="119"/>
      <c r="E124" s="119"/>
      <c r="F124" s="119"/>
      <c r="G124" s="119"/>
      <c r="H124" s="119"/>
      <c r="I124" s="119"/>
      <c r="J124" s="119"/>
      <c r="K124" s="119"/>
      <c r="L124" s="120"/>
      <c r="M124" s="86"/>
      <c r="N124" s="86"/>
      <c r="O124" s="121"/>
      <c r="P124" s="122"/>
      <c r="Q124" s="87"/>
      <c r="R124" s="89"/>
    </row>
    <row r="125" ht="42.600000000000001" customHeight="1">
      <c r="A125" s="93"/>
      <c r="B125" s="123" t="s">
        <v>48</v>
      </c>
      <c r="C125" s="101"/>
      <c r="D125" s="101"/>
      <c r="E125" s="101"/>
      <c r="F125" s="101"/>
      <c r="G125" s="101"/>
      <c r="H125" s="101"/>
      <c r="I125" s="101"/>
      <c r="J125" s="101"/>
      <c r="K125" s="53"/>
      <c r="L125" s="53"/>
      <c r="M125" s="89"/>
      <c r="N125" s="89"/>
      <c r="O125" s="121"/>
      <c r="P125" s="122"/>
      <c r="Q125" s="121"/>
      <c r="R125" s="89"/>
    </row>
    <row r="126" ht="42.600000000000001" customHeight="1">
      <c r="A126" s="93"/>
      <c r="B126" s="123" t="s">
        <v>49</v>
      </c>
      <c r="C126" s="101"/>
      <c r="D126" s="101"/>
      <c r="E126" s="101"/>
      <c r="F126" s="101"/>
      <c r="G126" s="101"/>
      <c r="H126" s="101"/>
      <c r="I126" s="101"/>
      <c r="J126" s="101"/>
      <c r="K126" s="53"/>
      <c r="L126" s="53"/>
      <c r="M126" s="89"/>
      <c r="N126" s="89"/>
      <c r="O126" s="121"/>
      <c r="P126" s="122"/>
      <c r="Q126" s="121"/>
      <c r="R126" s="89"/>
    </row>
    <row r="127" ht="42.600000000000001" customHeight="1">
      <c r="A127" s="93"/>
      <c r="B127" s="124" t="s">
        <v>50</v>
      </c>
      <c r="C127" s="56"/>
      <c r="D127" s="56"/>
      <c r="E127" s="56"/>
      <c r="F127" s="56"/>
      <c r="G127" s="125"/>
      <c r="H127" s="126"/>
      <c r="I127" s="126"/>
      <c r="J127" s="127"/>
      <c r="K127" s="53"/>
      <c r="L127" s="53"/>
      <c r="M127" s="89"/>
      <c r="N127" s="89"/>
      <c r="O127" s="97"/>
      <c r="P127" s="98"/>
      <c r="Q127" s="97"/>
      <c r="R127" s="89"/>
    </row>
    <row r="128" ht="42.600000000000001" customHeight="1">
      <c r="A128" s="93"/>
      <c r="B128" s="56">
        <v>30</v>
      </c>
      <c r="C128" s="56" t="s">
        <v>139</v>
      </c>
      <c r="D128" s="56" t="s">
        <v>140</v>
      </c>
      <c r="E128" s="56">
        <v>0.40000000000000002</v>
      </c>
      <c r="F128" s="56" t="s">
        <v>141</v>
      </c>
      <c r="G128" s="125"/>
      <c r="H128" s="126" t="s">
        <v>140</v>
      </c>
      <c r="I128" s="128">
        <v>0.80000000000000004</v>
      </c>
      <c r="J128" s="129" t="s">
        <v>142</v>
      </c>
      <c r="K128" s="53"/>
      <c r="L128" s="53"/>
      <c r="M128" s="89" t="s">
        <v>143</v>
      </c>
      <c r="N128" s="100">
        <f>B128*E128*I128</f>
        <v>9.6000000000000014</v>
      </c>
      <c r="O128" s="97">
        <v>53.399999999999999</v>
      </c>
      <c r="P128" s="98"/>
      <c r="Q128" s="97">
        <f>N128*O128</f>
        <v>512.6400000000001</v>
      </c>
      <c r="R128" s="100">
        <f>Q128</f>
        <v>512.6400000000001</v>
      </c>
    </row>
    <row r="129" ht="42.600000000000001" customHeight="1">
      <c r="A129" s="93"/>
      <c r="B129" s="142"/>
      <c r="C129" s="101"/>
      <c r="D129" s="101"/>
      <c r="E129" s="101"/>
      <c r="F129" s="101"/>
      <c r="G129" s="101"/>
      <c r="H129" s="101"/>
      <c r="I129" s="101"/>
      <c r="J129" s="101"/>
      <c r="K129" s="53"/>
      <c r="L129" s="53"/>
      <c r="M129" s="89"/>
      <c r="N129" s="89"/>
      <c r="O129" s="121"/>
      <c r="P129" s="122"/>
      <c r="Q129" s="121"/>
      <c r="R129" s="89"/>
    </row>
    <row r="130" ht="42.600000000000001" customHeight="1">
      <c r="A130" s="93" t="s">
        <v>31</v>
      </c>
      <c r="B130" s="170" t="s">
        <v>55</v>
      </c>
      <c r="C130" s="101"/>
      <c r="D130" s="101"/>
      <c r="E130" s="101"/>
      <c r="F130" s="101"/>
      <c r="G130" s="101"/>
      <c r="H130" s="101"/>
      <c r="I130" s="101"/>
      <c r="J130" s="101"/>
      <c r="K130" s="53"/>
      <c r="L130" s="53"/>
      <c r="M130" s="89"/>
      <c r="N130" s="89"/>
      <c r="O130" s="121"/>
      <c r="P130" s="122"/>
      <c r="Q130" s="121"/>
      <c r="R130" s="89"/>
    </row>
    <row r="131" ht="42.600000000000001" customHeight="1">
      <c r="A131" s="93"/>
      <c r="B131" s="144" t="s">
        <v>166</v>
      </c>
      <c r="C131" s="52"/>
      <c r="D131" s="101"/>
      <c r="E131" s="101"/>
      <c r="F131" s="101"/>
      <c r="G131" s="101"/>
      <c r="H131" s="101"/>
      <c r="I131" s="101"/>
      <c r="J131" s="101"/>
      <c r="K131" s="53"/>
      <c r="L131" s="53"/>
      <c r="M131" s="89"/>
      <c r="N131" s="89"/>
      <c r="O131" s="121"/>
      <c r="P131" s="122"/>
      <c r="Q131" s="97"/>
      <c r="R131" s="89"/>
    </row>
    <row r="132" ht="42.600000000000001" customHeight="1">
      <c r="A132" s="93"/>
      <c r="B132" s="144" t="s">
        <v>57</v>
      </c>
      <c r="C132" s="52"/>
      <c r="D132" s="101"/>
      <c r="E132" s="101"/>
      <c r="F132" s="101"/>
      <c r="G132" s="101"/>
      <c r="H132" s="101"/>
      <c r="I132" s="101"/>
      <c r="J132" s="101"/>
      <c r="K132" s="53"/>
      <c r="L132" s="53"/>
      <c r="M132" s="89"/>
      <c r="N132" s="89"/>
      <c r="O132" s="121"/>
      <c r="P132" s="122"/>
      <c r="Q132" s="121"/>
      <c r="R132" s="89"/>
    </row>
    <row r="133" ht="42.600000000000001" customHeight="1">
      <c r="A133" s="93"/>
      <c r="B133" s="144" t="s">
        <v>167</v>
      </c>
      <c r="C133" s="56"/>
      <c r="D133" s="56"/>
      <c r="E133" s="56"/>
      <c r="F133" s="56"/>
      <c r="G133" s="125"/>
      <c r="H133" s="101"/>
      <c r="I133" s="101"/>
      <c r="J133" s="101"/>
      <c r="K133" s="53"/>
      <c r="L133" s="53"/>
      <c r="M133" s="89"/>
      <c r="N133" s="89"/>
      <c r="O133" s="97"/>
      <c r="P133" s="98"/>
      <c r="Q133" s="97"/>
      <c r="R133" s="89"/>
    </row>
    <row r="134" ht="42.600000000000001" customHeight="1">
      <c r="A134" s="93"/>
      <c r="B134" s="56">
        <v>30</v>
      </c>
      <c r="C134" s="56" t="s">
        <v>139</v>
      </c>
      <c r="D134" s="56" t="s">
        <v>140</v>
      </c>
      <c r="E134" s="56">
        <v>0.40000000000000002</v>
      </c>
      <c r="F134" s="56" t="s">
        <v>141</v>
      </c>
      <c r="G134" s="125"/>
      <c r="H134" s="101"/>
      <c r="I134" s="101"/>
      <c r="J134" s="101"/>
      <c r="K134" s="53"/>
      <c r="L134" s="53"/>
      <c r="M134" s="89" t="s">
        <v>156</v>
      </c>
      <c r="N134" s="89">
        <f>B134*E134</f>
        <v>12</v>
      </c>
      <c r="O134" s="121">
        <v>27.350000000000001</v>
      </c>
      <c r="P134" s="122"/>
      <c r="Q134" s="97">
        <f>N134*O134</f>
        <v>328.20000000000005</v>
      </c>
      <c r="R134" s="100">
        <f>Q134</f>
        <v>328.20000000000005</v>
      </c>
    </row>
    <row r="135" ht="42.600000000000001" customHeight="1">
      <c r="A135" s="93"/>
      <c r="B135" s="171"/>
      <c r="C135" s="101"/>
      <c r="D135" s="101"/>
      <c r="E135" s="101"/>
      <c r="F135" s="101"/>
      <c r="G135" s="101"/>
      <c r="H135" s="101"/>
      <c r="I135" s="101"/>
      <c r="J135" s="101"/>
      <c r="K135" s="53"/>
      <c r="L135" s="53"/>
      <c r="M135" s="96"/>
      <c r="N135" s="89"/>
      <c r="O135" s="97"/>
      <c r="P135" s="98"/>
      <c r="Q135" s="121"/>
      <c r="R135" s="89"/>
    </row>
    <row r="136" ht="42.600000000000001" customHeight="1">
      <c r="A136" s="104" t="s">
        <v>39</v>
      </c>
      <c r="B136" s="161" t="s">
        <v>61</v>
      </c>
      <c r="C136" s="101"/>
      <c r="D136" s="101"/>
      <c r="E136" s="101"/>
      <c r="F136" s="101"/>
      <c r="G136" s="101"/>
      <c r="H136" s="101"/>
      <c r="I136" s="101"/>
      <c r="J136" s="101"/>
      <c r="K136" s="53"/>
      <c r="L136" s="53"/>
      <c r="M136" s="89"/>
      <c r="N136" s="89"/>
      <c r="O136" s="121"/>
      <c r="P136" s="122"/>
      <c r="Q136" s="97"/>
      <c r="R136" s="89"/>
    </row>
    <row r="137" ht="42.600000000000001" customHeight="1">
      <c r="A137" s="104"/>
      <c r="B137" s="144" t="s">
        <v>168</v>
      </c>
      <c r="C137" s="56"/>
      <c r="D137" s="56"/>
      <c r="E137" s="56"/>
      <c r="F137" s="56"/>
      <c r="G137" s="125"/>
      <c r="H137" s="56"/>
      <c r="I137" s="125"/>
      <c r="J137" s="125"/>
      <c r="K137" s="53"/>
      <c r="L137" s="53"/>
      <c r="M137" s="89"/>
      <c r="N137" s="89"/>
      <c r="O137" s="121"/>
      <c r="P137" s="122"/>
      <c r="Q137" s="97"/>
      <c r="R137" s="89"/>
    </row>
    <row r="138" ht="42.600000000000001" customHeight="1">
      <c r="A138" s="93"/>
      <c r="B138" s="144" t="s">
        <v>63</v>
      </c>
      <c r="C138" s="56"/>
      <c r="D138" s="56"/>
      <c r="E138" s="150"/>
      <c r="F138" s="56"/>
      <c r="G138" s="151"/>
      <c r="H138" s="56"/>
      <c r="I138" s="125"/>
      <c r="J138" s="92"/>
      <c r="K138" s="53"/>
      <c r="L138" s="53"/>
      <c r="M138" s="89"/>
      <c r="N138" s="152"/>
      <c r="O138" s="97"/>
      <c r="P138" s="98"/>
      <c r="Q138" s="99"/>
      <c r="R138" s="89"/>
    </row>
    <row r="139" ht="42.600000000000001" customHeight="1">
      <c r="A139" s="117"/>
      <c r="B139" s="144" t="s">
        <v>64</v>
      </c>
      <c r="C139" s="52"/>
      <c r="D139" s="54"/>
      <c r="E139" s="52"/>
      <c r="F139" s="52"/>
      <c r="G139" s="52"/>
      <c r="H139" s="52"/>
      <c r="I139" s="52"/>
      <c r="J139" s="52"/>
      <c r="K139" s="53"/>
      <c r="L139" s="53"/>
      <c r="M139" s="89"/>
      <c r="N139" s="89"/>
      <c r="O139" s="121"/>
      <c r="P139" s="122"/>
      <c r="Q139" s="121"/>
      <c r="R139" s="89"/>
    </row>
    <row r="140" ht="42.600000000000001" customHeight="1">
      <c r="A140" s="117"/>
      <c r="B140" s="56">
        <v>30</v>
      </c>
      <c r="C140" s="56" t="s">
        <v>139</v>
      </c>
      <c r="D140" s="56" t="s">
        <v>140</v>
      </c>
      <c r="E140" s="56">
        <v>0.40000000000000002</v>
      </c>
      <c r="F140" s="56" t="s">
        <v>141</v>
      </c>
      <c r="G140" s="125"/>
      <c r="H140" s="153"/>
      <c r="I140" s="153"/>
      <c r="J140" s="153"/>
      <c r="K140" s="53"/>
      <c r="L140" s="53"/>
      <c r="M140" s="89" t="s">
        <v>156</v>
      </c>
      <c r="N140" s="89">
        <f>B140*E140</f>
        <v>12</v>
      </c>
      <c r="O140" s="97">
        <v>30.300000000000001</v>
      </c>
      <c r="P140" s="98"/>
      <c r="Q140" s="97">
        <f t="shared" ref="Q140:Q160" si="6">N140*O140</f>
        <v>363.60000000000002</v>
      </c>
      <c r="R140" s="100">
        <f t="shared" ref="R140:R167" si="7">Q140</f>
        <v>363.60000000000002</v>
      </c>
    </row>
    <row r="141" ht="42.600000000000001" customHeight="1">
      <c r="A141" s="117"/>
      <c r="B141" s="56">
        <v>30</v>
      </c>
      <c r="C141" s="56" t="s">
        <v>139</v>
      </c>
      <c r="D141" s="56" t="s">
        <v>140</v>
      </c>
      <c r="E141" s="56">
        <v>0.59999999999999998</v>
      </c>
      <c r="F141" s="56" t="s">
        <v>142</v>
      </c>
      <c r="G141" s="125"/>
      <c r="H141" s="172" t="s">
        <v>140</v>
      </c>
      <c r="I141" s="172">
        <v>2</v>
      </c>
      <c r="J141" s="153"/>
      <c r="K141" s="156"/>
      <c r="L141" s="53"/>
      <c r="M141" s="89" t="s">
        <v>156</v>
      </c>
      <c r="N141" s="89">
        <f>B141*E141*I141</f>
        <v>36</v>
      </c>
      <c r="O141" s="97">
        <v>30.300000000000001</v>
      </c>
      <c r="P141" s="98"/>
      <c r="Q141" s="97">
        <f t="shared" si="6"/>
        <v>1090.8</v>
      </c>
      <c r="R141" s="100">
        <f t="shared" si="7"/>
        <v>1090.8</v>
      </c>
    </row>
    <row r="142" ht="42.600000000000001" customHeight="1">
      <c r="A142" s="117"/>
      <c r="B142" s="119"/>
      <c r="C142" s="153"/>
      <c r="D142" s="153"/>
      <c r="E142" s="153"/>
      <c r="F142" s="153"/>
      <c r="G142" s="153"/>
      <c r="H142" s="153"/>
      <c r="I142" s="153"/>
      <c r="J142" s="153"/>
      <c r="K142" s="53"/>
      <c r="L142" s="53"/>
      <c r="M142" s="89"/>
      <c r="N142" s="89"/>
      <c r="O142" s="121"/>
      <c r="P142" s="122"/>
      <c r="Q142" s="121"/>
      <c r="R142" s="89"/>
    </row>
    <row r="143" ht="42.600000000000001" customHeight="1">
      <c r="A143" s="117" t="s">
        <v>66</v>
      </c>
      <c r="B143" s="160" t="s">
        <v>67</v>
      </c>
      <c r="C143" s="52"/>
      <c r="D143" s="54"/>
      <c r="E143" s="52"/>
      <c r="F143" s="52"/>
      <c r="G143" s="52"/>
      <c r="H143" s="52"/>
      <c r="I143" s="52"/>
      <c r="J143" s="52"/>
      <c r="K143" s="53"/>
      <c r="L143" s="53"/>
      <c r="M143" s="86"/>
      <c r="N143" s="89"/>
      <c r="O143" s="121"/>
      <c r="P143" s="122"/>
      <c r="Q143" s="121"/>
      <c r="R143" s="89"/>
    </row>
    <row r="144" ht="42.600000000000001" customHeight="1">
      <c r="A144" s="93"/>
      <c r="B144" s="144" t="s">
        <v>68</v>
      </c>
      <c r="C144" s="56"/>
      <c r="D144" s="56"/>
      <c r="E144" s="150"/>
      <c r="F144" s="56"/>
      <c r="G144" s="151"/>
      <c r="H144" s="52"/>
      <c r="I144" s="52"/>
      <c r="J144" s="92"/>
      <c r="K144" s="53"/>
      <c r="L144" s="53"/>
      <c r="M144" s="89"/>
      <c r="N144" s="152"/>
      <c r="O144" s="97"/>
      <c r="P144" s="98"/>
      <c r="Q144" s="99"/>
      <c r="R144" s="89"/>
    </row>
    <row r="145" ht="42.600000000000001" customHeight="1">
      <c r="A145" s="117"/>
      <c r="B145" s="144" t="s">
        <v>169</v>
      </c>
      <c r="C145" s="56"/>
      <c r="D145" s="56"/>
      <c r="E145" s="56"/>
      <c r="F145" s="56"/>
      <c r="G145" s="125"/>
      <c r="H145" s="52"/>
      <c r="I145" s="52"/>
      <c r="J145" s="127"/>
      <c r="K145" s="53"/>
      <c r="L145" s="53"/>
      <c r="M145" s="89"/>
      <c r="N145" s="89"/>
      <c r="O145" s="97"/>
      <c r="P145" s="98"/>
      <c r="Q145" s="97"/>
      <c r="R145" s="89"/>
    </row>
    <row r="146" ht="42" customHeight="1">
      <c r="A146" s="117"/>
      <c r="B146" s="173" t="s">
        <v>70</v>
      </c>
      <c r="C146" s="56"/>
      <c r="D146" s="56"/>
      <c r="E146" s="56"/>
      <c r="F146" s="56"/>
      <c r="G146" s="125"/>
      <c r="H146" s="52"/>
      <c r="I146" s="52"/>
      <c r="J146" s="127"/>
      <c r="K146" s="53"/>
      <c r="L146" s="53"/>
      <c r="M146" s="89"/>
      <c r="N146" s="89"/>
      <c r="O146" s="97"/>
      <c r="P146" s="98"/>
      <c r="Q146" s="97"/>
      <c r="R146" s="89"/>
    </row>
    <row r="147" ht="42.600000000000001" customHeight="1">
      <c r="A147" s="117"/>
      <c r="B147" s="56">
        <v>30</v>
      </c>
      <c r="C147" s="56" t="s">
        <v>139</v>
      </c>
      <c r="D147" s="56" t="s">
        <v>140</v>
      </c>
      <c r="E147" s="56">
        <v>0.59999999999999998</v>
      </c>
      <c r="F147" s="56" t="s">
        <v>142</v>
      </c>
      <c r="G147" s="125"/>
      <c r="H147" s="172" t="s">
        <v>140</v>
      </c>
      <c r="I147" s="172">
        <v>2</v>
      </c>
      <c r="J147" s="153"/>
      <c r="K147" s="156"/>
      <c r="L147" s="53"/>
      <c r="M147" s="89" t="s">
        <v>156</v>
      </c>
      <c r="N147" s="89">
        <f>B147*E147*I147</f>
        <v>36</v>
      </c>
      <c r="O147" s="97">
        <v>28.050000000000001</v>
      </c>
      <c r="P147" s="98"/>
      <c r="Q147" s="97">
        <f t="shared" si="6"/>
        <v>1009.8000000000001</v>
      </c>
      <c r="R147" s="100">
        <f t="shared" si="7"/>
        <v>1009.8000000000001</v>
      </c>
    </row>
    <row r="148" ht="42.600000000000001" customHeight="1">
      <c r="A148" s="117"/>
      <c r="B148" s="124"/>
      <c r="C148" s="56"/>
      <c r="D148" s="56"/>
      <c r="E148" s="56"/>
      <c r="F148" s="56"/>
      <c r="G148" s="125"/>
      <c r="H148" s="158"/>
      <c r="I148" s="158"/>
      <c r="J148" s="127"/>
      <c r="K148" s="53"/>
      <c r="L148" s="53"/>
      <c r="M148" s="89"/>
      <c r="N148" s="89"/>
      <c r="O148" s="121"/>
      <c r="P148" s="122"/>
      <c r="Q148" s="97"/>
      <c r="R148" s="89"/>
    </row>
    <row r="149" ht="42.600000000000001" customHeight="1">
      <c r="A149" s="117" t="s">
        <v>72</v>
      </c>
      <c r="B149" s="164" t="s">
        <v>73</v>
      </c>
      <c r="C149" s="56"/>
      <c r="D149" s="56"/>
      <c r="E149" s="56"/>
      <c r="F149" s="56"/>
      <c r="G149" s="125"/>
      <c r="H149" s="158"/>
      <c r="I149" s="158"/>
      <c r="J149" s="127"/>
      <c r="K149" s="53"/>
      <c r="L149" s="53"/>
      <c r="M149" s="89"/>
      <c r="N149" s="89"/>
      <c r="O149" s="121"/>
      <c r="P149" s="122"/>
      <c r="Q149" s="97"/>
      <c r="R149" s="89"/>
    </row>
    <row r="150" ht="42.600000000000001" customHeight="1">
      <c r="A150" s="117"/>
      <c r="B150" s="145" t="s">
        <v>158</v>
      </c>
      <c r="C150" s="56"/>
      <c r="D150" s="56"/>
      <c r="E150" s="56"/>
      <c r="F150" s="56"/>
      <c r="G150" s="125"/>
      <c r="H150" s="158"/>
      <c r="I150" s="158"/>
      <c r="J150" s="127"/>
      <c r="K150" s="53"/>
      <c r="L150" s="53"/>
      <c r="M150" s="89"/>
      <c r="N150" s="89"/>
      <c r="O150" s="121"/>
      <c r="P150" s="122"/>
      <c r="Q150" s="97"/>
      <c r="R150" s="89"/>
    </row>
    <row r="151" ht="42.600000000000001" customHeight="1">
      <c r="A151" s="117"/>
      <c r="B151" s="145" t="s">
        <v>75</v>
      </c>
      <c r="C151" s="56"/>
      <c r="D151" s="56"/>
      <c r="E151" s="56"/>
      <c r="F151" s="56"/>
      <c r="G151" s="125"/>
      <c r="H151" s="158"/>
      <c r="I151" s="158"/>
      <c r="J151" s="127"/>
      <c r="K151" s="53"/>
      <c r="L151" s="53"/>
      <c r="M151" s="89"/>
      <c r="N151" s="89"/>
      <c r="O151" s="121"/>
      <c r="P151" s="122"/>
      <c r="Q151" s="97"/>
      <c r="R151" s="89"/>
    </row>
    <row r="152" ht="42.600000000000001" customHeight="1">
      <c r="A152" s="117"/>
      <c r="B152" s="165" t="s">
        <v>159</v>
      </c>
      <c r="C152" s="56"/>
      <c r="D152" s="56"/>
      <c r="E152" s="56"/>
      <c r="F152" s="56"/>
      <c r="G152" s="125"/>
      <c r="H152" s="158"/>
      <c r="I152" s="158"/>
      <c r="J152" s="127"/>
      <c r="K152" s="53"/>
      <c r="L152" s="53"/>
      <c r="M152" s="89"/>
      <c r="N152" s="89"/>
      <c r="O152" s="121"/>
      <c r="P152" s="122"/>
      <c r="Q152" s="97"/>
      <c r="R152" s="89"/>
    </row>
    <row r="153" ht="42.600000000000001" customHeight="1">
      <c r="A153" s="117"/>
      <c r="B153" s="145" t="s">
        <v>77</v>
      </c>
      <c r="C153" s="56"/>
      <c r="D153" s="56"/>
      <c r="E153" s="56"/>
      <c r="F153" s="56"/>
      <c r="G153" s="125"/>
      <c r="H153" s="158"/>
      <c r="I153" s="158"/>
      <c r="J153" s="127"/>
      <c r="K153" s="53"/>
      <c r="L153" s="53"/>
      <c r="M153" s="89"/>
      <c r="N153" s="89"/>
      <c r="O153" s="121"/>
      <c r="P153" s="122"/>
      <c r="Q153" s="97"/>
      <c r="R153" s="89"/>
    </row>
    <row r="154" ht="42.600000000000001" customHeight="1">
      <c r="A154" s="117"/>
      <c r="B154" s="56">
        <v>30</v>
      </c>
      <c r="C154" s="56" t="s">
        <v>139</v>
      </c>
      <c r="D154" s="56" t="s">
        <v>140</v>
      </c>
      <c r="E154" s="56">
        <v>0.40000000000000002</v>
      </c>
      <c r="F154" s="56" t="s">
        <v>141</v>
      </c>
      <c r="G154" s="125"/>
      <c r="H154" s="153"/>
      <c r="I154" s="153"/>
      <c r="J154" s="153"/>
      <c r="K154" s="53"/>
      <c r="L154" s="53"/>
      <c r="M154" s="89" t="s">
        <v>156</v>
      </c>
      <c r="N154" s="89">
        <f>B154*E154</f>
        <v>12</v>
      </c>
      <c r="O154" s="97">
        <v>46.009999999999998</v>
      </c>
      <c r="P154" s="98"/>
      <c r="Q154" s="97">
        <f t="shared" si="6"/>
        <v>552.12</v>
      </c>
      <c r="R154" s="100">
        <f t="shared" si="7"/>
        <v>552.12</v>
      </c>
    </row>
    <row r="155" ht="42.600000000000001" customHeight="1">
      <c r="A155" s="117"/>
      <c r="B155" s="56">
        <v>30</v>
      </c>
      <c r="C155" s="56" t="s">
        <v>139</v>
      </c>
      <c r="D155" s="56" t="s">
        <v>140</v>
      </c>
      <c r="E155" s="56">
        <v>0.59999999999999998</v>
      </c>
      <c r="F155" s="56" t="s">
        <v>142</v>
      </c>
      <c r="G155" s="125"/>
      <c r="H155" s="172" t="s">
        <v>140</v>
      </c>
      <c r="I155" s="172">
        <v>2</v>
      </c>
      <c r="J155" s="153"/>
      <c r="K155" s="156"/>
      <c r="L155" s="53"/>
      <c r="M155" s="89" t="s">
        <v>156</v>
      </c>
      <c r="N155" s="89">
        <f>B155*E155*I155</f>
        <v>36</v>
      </c>
      <c r="O155" s="97">
        <v>46.009999999999998</v>
      </c>
      <c r="P155" s="98"/>
      <c r="Q155" s="97">
        <f t="shared" si="6"/>
        <v>1656.3599999999999</v>
      </c>
      <c r="R155" s="100">
        <f t="shared" si="7"/>
        <v>1656.3599999999999</v>
      </c>
    </row>
    <row r="156" ht="42.600000000000001" customHeight="1">
      <c r="A156" s="117"/>
      <c r="B156" s="56"/>
      <c r="C156" s="56"/>
      <c r="D156" s="56"/>
      <c r="E156" s="56"/>
      <c r="F156" s="56"/>
      <c r="G156" s="125"/>
      <c r="H156" s="158"/>
      <c r="I156" s="158"/>
      <c r="J156" s="127"/>
      <c r="K156" s="53"/>
      <c r="L156" s="53"/>
      <c r="M156" s="89"/>
      <c r="N156" s="89"/>
      <c r="O156" s="121"/>
      <c r="P156" s="122"/>
      <c r="Q156" s="97"/>
      <c r="R156" s="89"/>
    </row>
    <row r="157" ht="42.600000000000001" customHeight="1">
      <c r="A157" s="117" t="s">
        <v>78</v>
      </c>
      <c r="B157" s="164" t="s">
        <v>170</v>
      </c>
      <c r="C157" s="56"/>
      <c r="D157" s="56"/>
      <c r="E157" s="56"/>
      <c r="F157" s="56"/>
      <c r="G157" s="125"/>
      <c r="H157" s="158"/>
      <c r="I157" s="158"/>
      <c r="J157" s="127"/>
      <c r="K157" s="53"/>
      <c r="L157" s="53"/>
      <c r="M157" s="89"/>
      <c r="N157" s="89"/>
      <c r="O157" s="121"/>
      <c r="P157" s="122"/>
      <c r="Q157" s="97"/>
      <c r="R157" s="89"/>
    </row>
    <row r="158" ht="42.600000000000001" customHeight="1">
      <c r="A158" s="117"/>
      <c r="B158" s="144" t="s">
        <v>80</v>
      </c>
      <c r="C158" s="56"/>
      <c r="D158" s="56"/>
      <c r="E158" s="56"/>
      <c r="F158" s="56"/>
      <c r="G158" s="125"/>
      <c r="H158" s="158"/>
      <c r="I158" s="158"/>
      <c r="J158" s="127"/>
      <c r="K158" s="53"/>
      <c r="L158" s="53"/>
      <c r="M158" s="89"/>
      <c r="N158" s="89"/>
      <c r="O158" s="121"/>
      <c r="P158" s="122"/>
      <c r="Q158" s="97"/>
      <c r="R158" s="89"/>
    </row>
    <row r="159" ht="42.600000000000001" customHeight="1">
      <c r="A159" s="117"/>
      <c r="B159" s="144" t="s">
        <v>171</v>
      </c>
      <c r="C159" s="56"/>
      <c r="D159" s="56"/>
      <c r="E159" s="56"/>
      <c r="F159" s="56"/>
      <c r="G159" s="125"/>
      <c r="H159" s="158"/>
      <c r="I159" s="158"/>
      <c r="J159" s="127"/>
      <c r="K159" s="53"/>
      <c r="L159" s="53"/>
      <c r="M159" s="89"/>
      <c r="N159" s="89"/>
      <c r="O159" s="121"/>
      <c r="P159" s="122"/>
      <c r="Q159" s="97"/>
      <c r="R159" s="89"/>
    </row>
    <row r="160" ht="42.600000000000001" customHeight="1">
      <c r="A160" s="117"/>
      <c r="B160" s="144" t="s">
        <v>83</v>
      </c>
      <c r="C160" s="56"/>
      <c r="D160" s="56"/>
      <c r="E160" s="56"/>
      <c r="F160" s="56"/>
      <c r="G160" s="125"/>
      <c r="H160" s="158"/>
      <c r="I160" s="158"/>
      <c r="J160" s="127"/>
      <c r="K160" s="53"/>
      <c r="L160" s="53"/>
      <c r="M160" s="89" t="s">
        <v>102</v>
      </c>
      <c r="N160" s="89">
        <v>30</v>
      </c>
      <c r="O160" s="97">
        <v>17.699999999999999</v>
      </c>
      <c r="P160" s="98"/>
      <c r="Q160" s="97">
        <f t="shared" si="6"/>
        <v>531</v>
      </c>
      <c r="R160" s="100">
        <f t="shared" si="7"/>
        <v>531</v>
      </c>
    </row>
    <row r="161" ht="42.600000000000001" customHeight="1">
      <c r="A161" s="117"/>
      <c r="B161" s="174"/>
      <c r="C161" s="56"/>
      <c r="D161" s="56"/>
      <c r="E161" s="56"/>
      <c r="F161" s="56"/>
      <c r="G161" s="125"/>
      <c r="H161" s="158"/>
      <c r="I161" s="158"/>
      <c r="J161" s="127"/>
      <c r="K161" s="53"/>
      <c r="L161" s="53"/>
      <c r="M161" s="89"/>
      <c r="N161" s="89"/>
      <c r="O161" s="121"/>
      <c r="P161" s="122"/>
      <c r="Q161" s="97"/>
      <c r="R161" s="89"/>
    </row>
    <row r="162" ht="42.600000000000001" customHeight="1">
      <c r="A162" s="117" t="s">
        <v>85</v>
      </c>
      <c r="B162" s="146" t="s">
        <v>148</v>
      </c>
      <c r="C162" s="56"/>
      <c r="D162" s="56"/>
      <c r="E162" s="56"/>
      <c r="F162" s="56"/>
      <c r="G162" s="125"/>
      <c r="H162" s="158"/>
      <c r="I162" s="158"/>
      <c r="J162" s="127"/>
      <c r="K162" s="53"/>
      <c r="L162" s="53"/>
      <c r="M162" s="89"/>
      <c r="N162" s="89"/>
      <c r="O162" s="121"/>
      <c r="P162" s="122"/>
      <c r="Q162" s="97"/>
      <c r="R162" s="89"/>
    </row>
    <row r="163" ht="42.600000000000001" customHeight="1">
      <c r="A163" s="117"/>
      <c r="B163" s="147" t="s">
        <v>149</v>
      </c>
      <c r="C163" s="148"/>
      <c r="D163" s="148"/>
      <c r="E163" s="148"/>
      <c r="F163" s="148"/>
      <c r="G163" s="148"/>
      <c r="H163" s="148"/>
      <c r="I163" s="148"/>
      <c r="J163" s="148"/>
      <c r="K163" s="148"/>
      <c r="L163" s="149"/>
      <c r="M163" s="89"/>
      <c r="N163" s="89"/>
      <c r="O163" s="121"/>
      <c r="P163" s="122"/>
      <c r="Q163" s="97"/>
      <c r="R163" s="89"/>
    </row>
    <row r="164" ht="42.600000000000001" customHeight="1">
      <c r="A164" s="117"/>
      <c r="B164" s="144" t="s">
        <v>150</v>
      </c>
      <c r="C164" s="56"/>
      <c r="D164" s="56"/>
      <c r="E164" s="56"/>
      <c r="F164" s="56"/>
      <c r="G164" s="125"/>
      <c r="H164" s="158"/>
      <c r="I164" s="158"/>
      <c r="J164" s="127"/>
      <c r="K164" s="53"/>
      <c r="L164" s="53"/>
      <c r="M164" s="89"/>
      <c r="N164" s="89"/>
      <c r="O164" s="121"/>
      <c r="P164" s="122"/>
      <c r="Q164" s="97"/>
      <c r="R164" s="89"/>
    </row>
    <row r="165" ht="42.600000000000001" customHeight="1">
      <c r="A165" s="117"/>
      <c r="B165" s="144" t="s">
        <v>151</v>
      </c>
      <c r="C165" s="56"/>
      <c r="D165" s="56"/>
      <c r="E165" s="56"/>
      <c r="F165" s="56"/>
      <c r="G165" s="125"/>
      <c r="H165" s="158"/>
      <c r="I165" s="158"/>
      <c r="J165" s="127"/>
      <c r="K165" s="53"/>
      <c r="L165" s="53"/>
      <c r="M165" s="89"/>
      <c r="N165" s="89"/>
      <c r="O165" s="121"/>
      <c r="P165" s="122"/>
      <c r="Q165" s="97"/>
      <c r="R165" s="89"/>
    </row>
    <row r="166" ht="42.600000000000001" customHeight="1">
      <c r="A166" s="117"/>
      <c r="B166" s="144" t="s">
        <v>152</v>
      </c>
      <c r="C166" s="56"/>
      <c r="D166" s="56"/>
      <c r="E166" s="56"/>
      <c r="F166" s="56"/>
      <c r="G166" s="125"/>
      <c r="H166" s="158"/>
      <c r="I166" s="158"/>
      <c r="J166" s="127"/>
      <c r="K166" s="53"/>
      <c r="L166" s="53"/>
      <c r="M166" s="89"/>
      <c r="N166" s="89"/>
      <c r="O166" s="121"/>
      <c r="P166" s="122"/>
      <c r="Q166" s="97"/>
      <c r="R166" s="89"/>
    </row>
    <row r="167" ht="42.600000000000001" customHeight="1">
      <c r="A167" s="117"/>
      <c r="B167" s="145" t="s">
        <v>153</v>
      </c>
      <c r="C167" s="56"/>
      <c r="D167" s="56"/>
      <c r="E167" s="56"/>
      <c r="F167" s="56"/>
      <c r="G167" s="125"/>
      <c r="H167" s="158"/>
      <c r="I167" s="158"/>
      <c r="J167" s="127"/>
      <c r="K167" s="53"/>
      <c r="L167" s="53"/>
      <c r="M167" s="89" t="s">
        <v>97</v>
      </c>
      <c r="N167" s="89">
        <v>1</v>
      </c>
      <c r="O167" s="97">
        <v>822.60000000000002</v>
      </c>
      <c r="P167" s="98"/>
      <c r="Q167" s="97">
        <f>O167*N167</f>
        <v>822.60000000000002</v>
      </c>
      <c r="R167" s="100">
        <f t="shared" si="7"/>
        <v>822.60000000000002</v>
      </c>
    </row>
    <row r="168" ht="42.600000000000001" customHeight="1">
      <c r="A168" s="117"/>
      <c r="B168" s="56"/>
      <c r="C168" s="56"/>
      <c r="D168" s="56"/>
      <c r="E168" s="56"/>
      <c r="F168" s="56"/>
      <c r="G168" s="125"/>
      <c r="H168" s="158"/>
      <c r="I168" s="158"/>
      <c r="J168" s="127"/>
      <c r="K168" s="53"/>
      <c r="L168" s="53"/>
      <c r="M168" s="89"/>
      <c r="N168" s="89"/>
      <c r="O168" s="121"/>
      <c r="P168" s="122"/>
      <c r="Q168" s="97"/>
      <c r="R168" s="89"/>
    </row>
    <row r="169" ht="42.600000000000001" customHeight="1">
      <c r="A169" s="117" t="s">
        <v>161</v>
      </c>
      <c r="B169" s="175" t="s">
        <v>172</v>
      </c>
      <c r="C169" s="56"/>
      <c r="D169" s="56"/>
      <c r="E169" s="56"/>
      <c r="F169" s="56"/>
      <c r="G169" s="125"/>
      <c r="H169" s="158"/>
      <c r="I169" s="158"/>
      <c r="J169" s="127"/>
      <c r="K169" s="53"/>
      <c r="L169" s="53"/>
      <c r="M169" s="89"/>
      <c r="N169" s="89"/>
      <c r="O169" s="121"/>
      <c r="P169" s="122"/>
      <c r="Q169" s="97"/>
      <c r="R169" s="89"/>
    </row>
    <row r="170" ht="42.600000000000001" customHeight="1">
      <c r="A170" s="117"/>
      <c r="B170" s="52" t="s">
        <v>173</v>
      </c>
      <c r="C170" s="56"/>
      <c r="D170" s="56"/>
      <c r="E170" s="56"/>
      <c r="F170" s="56"/>
      <c r="G170" s="125"/>
      <c r="H170" s="158"/>
      <c r="I170" s="158"/>
      <c r="J170" s="127"/>
      <c r="K170" s="53"/>
      <c r="L170" s="53"/>
      <c r="M170" s="89"/>
      <c r="N170" s="89"/>
      <c r="O170" s="121"/>
      <c r="P170" s="122"/>
      <c r="Q170" s="97"/>
      <c r="R170" s="89"/>
    </row>
    <row r="171" ht="42.600000000000001" customHeight="1">
      <c r="A171" s="117"/>
      <c r="B171" s="52" t="s">
        <v>174</v>
      </c>
      <c r="C171" s="56"/>
      <c r="D171" s="56"/>
      <c r="E171" s="56"/>
      <c r="F171" s="56"/>
      <c r="G171" s="125"/>
      <c r="H171" s="158"/>
      <c r="I171" s="158"/>
      <c r="J171" s="127"/>
      <c r="K171" s="53"/>
      <c r="L171" s="53"/>
      <c r="M171" s="89"/>
      <c r="N171" s="89"/>
      <c r="O171" s="121"/>
      <c r="P171" s="122"/>
      <c r="Q171" s="97"/>
      <c r="R171" s="89"/>
    </row>
    <row r="172" ht="42.600000000000001" customHeight="1">
      <c r="A172" s="117"/>
      <c r="B172" s="52" t="s">
        <v>175</v>
      </c>
      <c r="C172" s="56"/>
      <c r="D172" s="56"/>
      <c r="E172" s="56"/>
      <c r="F172" s="56"/>
      <c r="G172" s="125"/>
      <c r="H172" s="158"/>
      <c r="I172" s="158"/>
      <c r="J172" s="127"/>
      <c r="K172" s="53"/>
      <c r="L172" s="53"/>
      <c r="M172" s="89"/>
      <c r="N172" s="89"/>
      <c r="O172" s="121"/>
      <c r="P172" s="122"/>
      <c r="Q172" s="97"/>
      <c r="R172" s="89"/>
    </row>
    <row r="173" ht="42.600000000000001" customHeight="1">
      <c r="A173" s="117"/>
      <c r="B173" s="56" t="s">
        <v>176</v>
      </c>
      <c r="C173" s="56"/>
      <c r="D173" s="56"/>
      <c r="E173" s="56"/>
      <c r="F173" s="56"/>
      <c r="G173" s="125"/>
      <c r="H173" s="158"/>
      <c r="I173" s="158"/>
      <c r="J173" s="127"/>
      <c r="K173" s="53"/>
      <c r="L173" s="53"/>
      <c r="M173" s="89" t="s">
        <v>97</v>
      </c>
      <c r="N173" s="89">
        <v>4</v>
      </c>
      <c r="O173" s="121">
        <v>37.710000000000001</v>
      </c>
      <c r="P173" s="122"/>
      <c r="Q173" s="97"/>
      <c r="R173" s="89">
        <f>O173*N173</f>
        <v>150.84</v>
      </c>
    </row>
    <row r="174" ht="42.600000000000001" customHeight="1">
      <c r="A174" s="117"/>
      <c r="B174" s="56"/>
      <c r="C174" s="56"/>
      <c r="D174" s="56"/>
      <c r="E174" s="56"/>
      <c r="F174" s="56"/>
      <c r="G174" s="125"/>
      <c r="H174" s="158"/>
      <c r="I174" s="158"/>
      <c r="J174" s="127"/>
      <c r="K174" s="53"/>
      <c r="L174" s="53"/>
      <c r="M174" s="89"/>
      <c r="N174" s="89"/>
      <c r="O174" s="121"/>
      <c r="P174" s="122"/>
      <c r="Q174" s="97"/>
      <c r="R174" s="89"/>
    </row>
    <row r="175" ht="42.600000000000001" customHeight="1">
      <c r="A175" s="117"/>
      <c r="B175" s="56"/>
      <c r="C175" s="56"/>
      <c r="D175" s="56"/>
      <c r="E175" s="56"/>
      <c r="F175" s="56"/>
      <c r="G175" s="125"/>
      <c r="H175" s="158"/>
      <c r="I175" s="158"/>
      <c r="J175" s="127"/>
      <c r="K175" s="53"/>
      <c r="L175" s="53"/>
      <c r="M175" s="89"/>
      <c r="N175" s="89"/>
      <c r="O175" s="121"/>
      <c r="P175" s="122"/>
      <c r="Q175" s="97"/>
      <c r="R175" s="89"/>
    </row>
    <row r="176" ht="42.600000000000001" customHeight="1">
      <c r="A176" s="117"/>
      <c r="B176" s="56"/>
      <c r="C176" s="56"/>
      <c r="D176" s="56"/>
      <c r="E176" s="56"/>
      <c r="F176" s="56"/>
      <c r="G176" s="125"/>
      <c r="H176" s="158"/>
      <c r="I176" s="158"/>
      <c r="J176" s="127"/>
      <c r="K176" s="53"/>
      <c r="L176" s="53"/>
      <c r="M176" s="89"/>
      <c r="N176" s="89"/>
      <c r="O176" s="121"/>
      <c r="P176" s="122"/>
      <c r="Q176" s="97"/>
      <c r="R176" s="89"/>
    </row>
    <row r="177" ht="42.600000000000001" customHeight="1">
      <c r="A177" s="117"/>
      <c r="B177" s="56"/>
      <c r="C177" s="56"/>
      <c r="D177" s="56"/>
      <c r="E177" s="56"/>
      <c r="F177" s="56"/>
      <c r="G177" s="125"/>
      <c r="H177" s="158"/>
      <c r="I177" s="158"/>
      <c r="J177" s="127"/>
      <c r="K177" s="53"/>
      <c r="L177" s="53"/>
      <c r="M177" s="89"/>
      <c r="N177" s="89"/>
      <c r="O177" s="121"/>
      <c r="P177" s="122"/>
      <c r="Q177" s="97"/>
      <c r="R177" s="89"/>
    </row>
    <row r="178" ht="42.600000000000001" customHeight="1">
      <c r="A178" s="117"/>
      <c r="B178" s="56"/>
      <c r="C178" s="56"/>
      <c r="D178" s="56"/>
      <c r="E178" s="56"/>
      <c r="F178" s="56"/>
      <c r="G178" s="125"/>
      <c r="H178" s="158"/>
      <c r="I178" s="158"/>
      <c r="J178" s="127"/>
      <c r="K178" s="53"/>
      <c r="L178" s="53"/>
      <c r="M178" s="89"/>
      <c r="N178" s="89"/>
      <c r="O178" s="121"/>
      <c r="P178" s="122"/>
      <c r="Q178" s="97"/>
      <c r="R178" s="89"/>
    </row>
    <row r="179" ht="42.600000000000001" customHeight="1">
      <c r="A179" s="66" t="s">
        <v>42</v>
      </c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8"/>
      <c r="Q179" s="105">
        <f>SUM(Q121:Q178)</f>
        <v>6867.1199999999999</v>
      </c>
      <c r="R179" s="106">
        <f>SUM(R122:R177)</f>
        <v>7017.96</v>
      </c>
    </row>
    <row r="180" ht="60" customHeight="1">
      <c r="A180" s="69" t="s">
        <v>7</v>
      </c>
      <c r="B180" s="70" t="s">
        <v>8</v>
      </c>
      <c r="C180" s="71"/>
      <c r="D180" s="71"/>
      <c r="E180" s="71"/>
      <c r="F180" s="71"/>
      <c r="G180" s="71"/>
      <c r="H180" s="71"/>
      <c r="I180" s="71"/>
      <c r="J180" s="71"/>
      <c r="K180" s="71"/>
      <c r="L180" s="107"/>
      <c r="M180" s="108" t="s">
        <v>9</v>
      </c>
      <c r="N180" s="108" t="s">
        <v>10</v>
      </c>
      <c r="O180" s="109" t="s">
        <v>11</v>
      </c>
      <c r="P180" s="110"/>
      <c r="Q180" s="108" t="s">
        <v>12</v>
      </c>
      <c r="R180" s="111" t="s">
        <v>12</v>
      </c>
    </row>
    <row r="181" ht="42.600000000000001" customHeight="1">
      <c r="A181" s="78"/>
      <c r="B181" s="112" t="s">
        <v>177</v>
      </c>
      <c r="C181" s="113"/>
      <c r="D181" s="113"/>
      <c r="E181" s="113"/>
      <c r="F181" s="113"/>
      <c r="G181" s="113"/>
      <c r="H181" s="113"/>
      <c r="I181" s="113"/>
      <c r="J181" s="113"/>
      <c r="K181" s="114"/>
      <c r="L181" s="53"/>
      <c r="M181" s="80"/>
      <c r="N181" s="80"/>
      <c r="O181" s="81"/>
      <c r="P181" s="82"/>
      <c r="Q181" s="81"/>
      <c r="R181" s="83"/>
    </row>
    <row r="182" ht="42.600000000000001" customHeight="1">
      <c r="A182" s="78"/>
      <c r="B182" s="84" t="s">
        <v>138</v>
      </c>
      <c r="C182" s="85"/>
      <c r="D182" s="85"/>
      <c r="E182" s="85"/>
      <c r="F182" s="85"/>
      <c r="G182" s="85"/>
      <c r="H182" s="85"/>
      <c r="I182" s="85"/>
      <c r="J182" s="85"/>
      <c r="K182" s="85"/>
      <c r="L182" s="115"/>
      <c r="M182" s="86"/>
      <c r="N182" s="86"/>
      <c r="O182" s="87"/>
      <c r="P182" s="88"/>
      <c r="Q182" s="87"/>
      <c r="R182" s="89"/>
    </row>
    <row r="183" ht="42.600000000000001" customHeight="1">
      <c r="A183" s="78"/>
      <c r="B183" s="116"/>
      <c r="C183" s="52"/>
      <c r="D183" s="54"/>
      <c r="E183" s="52"/>
      <c r="F183" s="52"/>
      <c r="G183" s="52"/>
      <c r="H183" s="52"/>
      <c r="I183" s="52"/>
      <c r="J183" s="52"/>
      <c r="K183" s="53"/>
      <c r="L183" s="53"/>
      <c r="M183" s="86"/>
      <c r="N183" s="86"/>
      <c r="O183" s="87"/>
      <c r="P183" s="88"/>
      <c r="Q183" s="87"/>
      <c r="R183" s="89"/>
    </row>
    <row r="184" ht="42.600000000000001" customHeight="1">
      <c r="A184" s="93" t="s">
        <v>15</v>
      </c>
      <c r="B184" s="119" t="s">
        <v>90</v>
      </c>
      <c r="C184" s="153"/>
      <c r="D184" s="153"/>
      <c r="E184" s="153"/>
      <c r="F184" s="153"/>
      <c r="G184" s="153"/>
      <c r="H184" s="153"/>
      <c r="I184" s="153"/>
      <c r="J184" s="153"/>
      <c r="K184" s="53"/>
      <c r="L184" s="53"/>
      <c r="M184" s="89"/>
      <c r="N184" s="89"/>
      <c r="O184" s="121"/>
      <c r="P184" s="122"/>
      <c r="Q184" s="121"/>
      <c r="R184" s="89"/>
    </row>
    <row r="185" ht="42.600000000000001" customHeight="1">
      <c r="A185" s="93"/>
      <c r="B185" s="144" t="s">
        <v>91</v>
      </c>
      <c r="C185" s="52"/>
      <c r="D185" s="54"/>
      <c r="E185" s="52"/>
      <c r="F185" s="52"/>
      <c r="G185" s="52"/>
      <c r="H185" s="52"/>
      <c r="I185" s="52"/>
      <c r="J185" s="52"/>
      <c r="K185" s="53"/>
      <c r="L185" s="53"/>
      <c r="M185" s="86"/>
      <c r="N185" s="89"/>
      <c r="O185" s="121"/>
      <c r="P185" s="122"/>
      <c r="Q185" s="121"/>
      <c r="R185" s="89"/>
    </row>
    <row r="186" ht="42.600000000000001" customHeight="1">
      <c r="A186" s="93"/>
      <c r="B186" s="144" t="s">
        <v>92</v>
      </c>
      <c r="C186" s="56"/>
      <c r="D186" s="56"/>
      <c r="E186" s="150"/>
      <c r="F186" s="56"/>
      <c r="G186" s="151"/>
      <c r="H186" s="52"/>
      <c r="I186" s="52"/>
      <c r="J186" s="92"/>
      <c r="K186" s="53"/>
      <c r="L186" s="53"/>
      <c r="M186" s="89"/>
      <c r="N186" s="152"/>
      <c r="O186" s="97"/>
      <c r="P186" s="98"/>
      <c r="Q186" s="99"/>
      <c r="R186" s="89"/>
    </row>
    <row r="187" ht="42.600000000000001" customHeight="1">
      <c r="A187" s="93"/>
      <c r="B187" s="52" t="s">
        <v>93</v>
      </c>
      <c r="C187" s="56"/>
      <c r="D187" s="56"/>
      <c r="E187" s="56"/>
      <c r="F187" s="56"/>
      <c r="G187" s="125"/>
      <c r="H187" s="52"/>
      <c r="I187" s="52"/>
      <c r="J187" s="127"/>
      <c r="K187" s="53"/>
      <c r="L187" s="53"/>
      <c r="M187" s="89" t="s">
        <v>143</v>
      </c>
      <c r="N187" s="89">
        <f>9*1*0.2</f>
        <v>1.8</v>
      </c>
      <c r="O187" s="97">
        <v>384.69999999999999</v>
      </c>
      <c r="P187" s="98"/>
      <c r="Q187" s="97">
        <f>N187*O187</f>
        <v>692.46000000000004</v>
      </c>
      <c r="R187" s="100">
        <f>Q187</f>
        <v>692.46000000000004</v>
      </c>
    </row>
    <row r="188" ht="42.600000000000001" customHeight="1">
      <c r="A188" s="93"/>
      <c r="B188" s="56"/>
      <c r="C188" s="56"/>
      <c r="D188" s="56"/>
      <c r="E188" s="56"/>
      <c r="F188" s="56"/>
      <c r="G188" s="125"/>
      <c r="H188" s="158"/>
      <c r="I188" s="158"/>
      <c r="J188" s="127"/>
      <c r="K188" s="53"/>
      <c r="L188" s="53"/>
      <c r="M188" s="89"/>
      <c r="N188" s="89"/>
      <c r="O188" s="121"/>
      <c r="P188" s="122"/>
      <c r="Q188" s="97"/>
      <c r="R188" s="89"/>
    </row>
    <row r="189" ht="42.600000000000001" customHeight="1">
      <c r="A189" s="93" t="s">
        <v>31</v>
      </c>
      <c r="B189" s="160" t="s">
        <v>67</v>
      </c>
      <c r="C189" s="56"/>
      <c r="D189" s="56"/>
      <c r="E189" s="56"/>
      <c r="F189" s="56"/>
      <c r="G189" s="125"/>
      <c r="H189" s="158"/>
      <c r="I189" s="158"/>
      <c r="J189" s="127"/>
      <c r="K189" s="53"/>
      <c r="L189" s="53"/>
      <c r="M189" s="89"/>
      <c r="N189" s="89"/>
      <c r="O189" s="121"/>
      <c r="P189" s="122"/>
      <c r="Q189" s="97"/>
      <c r="R189" s="89"/>
    </row>
    <row r="190" ht="42.600000000000001" customHeight="1">
      <c r="A190" s="104"/>
      <c r="B190" s="144" t="s">
        <v>68</v>
      </c>
      <c r="C190" s="56"/>
      <c r="D190" s="56"/>
      <c r="E190" s="56"/>
      <c r="F190" s="56"/>
      <c r="G190" s="125"/>
      <c r="H190" s="158"/>
      <c r="I190" s="158"/>
      <c r="J190" s="127"/>
      <c r="K190" s="53"/>
      <c r="L190" s="53"/>
      <c r="M190" s="89"/>
      <c r="N190" s="89"/>
      <c r="O190" s="121"/>
      <c r="P190" s="122"/>
      <c r="Q190" s="97"/>
      <c r="R190" s="89"/>
    </row>
    <row r="191" ht="42.600000000000001" customHeight="1">
      <c r="A191" s="104"/>
      <c r="B191" s="144" t="s">
        <v>155</v>
      </c>
      <c r="C191" s="56"/>
      <c r="D191" s="56"/>
      <c r="E191" s="56"/>
      <c r="F191" s="56"/>
      <c r="G191" s="125"/>
      <c r="H191" s="158"/>
      <c r="I191" s="158"/>
      <c r="J191" s="127"/>
      <c r="K191" s="53"/>
      <c r="L191" s="53"/>
      <c r="M191" s="89"/>
      <c r="N191" s="89"/>
      <c r="O191" s="121"/>
      <c r="P191" s="122"/>
      <c r="Q191" s="97"/>
      <c r="R191" s="89"/>
    </row>
    <row r="192" ht="42.600000000000001" customHeight="1">
      <c r="A192" s="93"/>
      <c r="B192" s="144" t="s">
        <v>96</v>
      </c>
      <c r="C192" s="56"/>
      <c r="D192" s="56"/>
      <c r="E192" s="56"/>
      <c r="F192" s="56"/>
      <c r="G192" s="125"/>
      <c r="H192" s="158"/>
      <c r="I192" s="158"/>
      <c r="J192" s="127"/>
      <c r="K192" s="53"/>
      <c r="L192" s="53"/>
      <c r="M192" s="89" t="s">
        <v>156</v>
      </c>
      <c r="N192" s="89">
        <f>9*1.3</f>
        <v>11.700000000000001</v>
      </c>
      <c r="O192" s="121">
        <v>68.109999999999999</v>
      </c>
      <c r="P192" s="122"/>
      <c r="Q192" s="97">
        <f>N192*O192</f>
        <v>796.88700000000006</v>
      </c>
      <c r="R192" s="100">
        <f>Q192</f>
        <v>796.88700000000006</v>
      </c>
    </row>
    <row r="193" ht="42.600000000000001" customHeight="1">
      <c r="A193" s="117"/>
      <c r="B193" s="56"/>
      <c r="C193" s="56"/>
      <c r="D193" s="56"/>
      <c r="E193" s="56"/>
      <c r="F193" s="56"/>
      <c r="G193" s="125"/>
      <c r="H193" s="158"/>
      <c r="I193" s="158"/>
      <c r="J193" s="127"/>
      <c r="K193" s="53"/>
      <c r="L193" s="53"/>
      <c r="M193" s="89"/>
      <c r="N193" s="89"/>
      <c r="O193" s="121"/>
      <c r="P193" s="122"/>
      <c r="Q193" s="97"/>
      <c r="R193" s="89"/>
    </row>
    <row r="194" ht="42.600000000000001" customHeight="1">
      <c r="A194" s="117" t="s">
        <v>39</v>
      </c>
      <c r="B194" s="161" t="s">
        <v>61</v>
      </c>
      <c r="C194" s="56"/>
      <c r="D194" s="56"/>
      <c r="E194" s="56"/>
      <c r="F194" s="56"/>
      <c r="G194" s="125"/>
      <c r="H194" s="158"/>
      <c r="I194" s="158"/>
      <c r="J194" s="127"/>
      <c r="K194" s="53"/>
      <c r="L194" s="53"/>
      <c r="M194" s="89"/>
      <c r="N194" s="89"/>
      <c r="O194" s="121"/>
      <c r="P194" s="122"/>
      <c r="Q194" s="97"/>
      <c r="R194" s="89"/>
    </row>
    <row r="195" ht="42.600000000000001" customHeight="1">
      <c r="A195" s="117"/>
      <c r="B195" s="162" t="s">
        <v>98</v>
      </c>
      <c r="C195" s="56"/>
      <c r="D195" s="56"/>
      <c r="E195" s="56"/>
      <c r="F195" s="56"/>
      <c r="G195" s="125"/>
      <c r="H195" s="158"/>
      <c r="I195" s="158"/>
      <c r="J195" s="127"/>
      <c r="K195" s="53"/>
      <c r="L195" s="53"/>
      <c r="M195" s="89"/>
      <c r="N195" s="89"/>
      <c r="O195" s="121"/>
      <c r="P195" s="122"/>
      <c r="Q195" s="97"/>
      <c r="R195" s="89"/>
    </row>
    <row r="196" ht="42.600000000000001" customHeight="1">
      <c r="A196" s="117"/>
      <c r="B196" s="145" t="s">
        <v>157</v>
      </c>
      <c r="C196" s="56"/>
      <c r="D196" s="56"/>
      <c r="E196" s="56"/>
      <c r="F196" s="56"/>
      <c r="G196" s="125"/>
      <c r="H196" s="158"/>
      <c r="I196" s="158"/>
      <c r="J196" s="127"/>
      <c r="K196" s="53"/>
      <c r="L196" s="53"/>
      <c r="M196" s="89"/>
      <c r="N196" s="89"/>
      <c r="O196" s="121"/>
      <c r="P196" s="122"/>
      <c r="Q196" s="97"/>
      <c r="R196" s="89"/>
    </row>
    <row r="197" ht="42.600000000000001" customHeight="1">
      <c r="A197" s="117"/>
      <c r="B197" s="163" t="s">
        <v>100</v>
      </c>
      <c r="C197" s="56"/>
      <c r="D197" s="56"/>
      <c r="E197" s="56"/>
      <c r="F197" s="56"/>
      <c r="G197" s="125"/>
      <c r="H197" s="158"/>
      <c r="I197" s="158"/>
      <c r="J197" s="127"/>
      <c r="K197" s="53"/>
      <c r="L197" s="53"/>
      <c r="M197" s="89" t="s">
        <v>156</v>
      </c>
      <c r="N197" s="89">
        <f>9*1.3</f>
        <v>11.700000000000001</v>
      </c>
      <c r="O197" s="121">
        <v>101.8</v>
      </c>
      <c r="P197" s="122"/>
      <c r="Q197" s="97">
        <f>N197*O197</f>
        <v>1191.0600000000002</v>
      </c>
      <c r="R197" s="100">
        <f>Q197</f>
        <v>1191.0600000000002</v>
      </c>
    </row>
    <row r="198" ht="42.600000000000001" customHeight="1">
      <c r="A198" s="93"/>
      <c r="B198" s="56"/>
      <c r="C198" s="56"/>
      <c r="D198" s="56"/>
      <c r="E198" s="56"/>
      <c r="F198" s="56"/>
      <c r="G198" s="125"/>
      <c r="H198" s="158"/>
      <c r="I198" s="158"/>
      <c r="J198" s="127"/>
      <c r="K198" s="53"/>
      <c r="L198" s="53"/>
      <c r="M198" s="89"/>
      <c r="N198" s="89"/>
      <c r="O198" s="121"/>
      <c r="P198" s="122"/>
      <c r="Q198" s="97"/>
      <c r="R198" s="89"/>
    </row>
    <row r="199" ht="42.600000000000001" customHeight="1">
      <c r="A199" s="117" t="s">
        <v>66</v>
      </c>
      <c r="B199" s="164" t="s">
        <v>73</v>
      </c>
      <c r="C199" s="56"/>
      <c r="D199" s="56"/>
      <c r="E199" s="56"/>
      <c r="F199" s="56"/>
      <c r="G199" s="125"/>
      <c r="H199" s="158"/>
      <c r="I199" s="158"/>
      <c r="J199" s="127"/>
      <c r="K199" s="53"/>
      <c r="L199" s="53"/>
      <c r="M199" s="89"/>
      <c r="N199" s="89"/>
      <c r="O199" s="121"/>
      <c r="P199" s="122"/>
      <c r="Q199" s="97"/>
      <c r="R199" s="89"/>
    </row>
    <row r="200" ht="42" customHeight="1">
      <c r="A200" s="117"/>
      <c r="B200" s="145" t="s">
        <v>158</v>
      </c>
      <c r="C200" s="56"/>
      <c r="D200" s="56"/>
      <c r="E200" s="56"/>
      <c r="F200" s="56"/>
      <c r="G200" s="125"/>
      <c r="H200" s="158"/>
      <c r="I200" s="158"/>
      <c r="J200" s="127"/>
      <c r="K200" s="53"/>
      <c r="L200" s="53"/>
      <c r="M200" s="89"/>
      <c r="N200" s="89"/>
      <c r="O200" s="121"/>
      <c r="P200" s="122"/>
      <c r="Q200" s="97"/>
      <c r="R200" s="89"/>
    </row>
    <row r="201" ht="42.600000000000001" customHeight="1">
      <c r="A201" s="117"/>
      <c r="B201" s="145" t="s">
        <v>75</v>
      </c>
      <c r="C201" s="56"/>
      <c r="D201" s="56"/>
      <c r="E201" s="56"/>
      <c r="F201" s="56"/>
      <c r="G201" s="125"/>
      <c r="H201" s="158"/>
      <c r="I201" s="158"/>
      <c r="J201" s="127"/>
      <c r="K201" s="53"/>
      <c r="L201" s="53"/>
      <c r="M201" s="89"/>
      <c r="N201" s="89"/>
      <c r="O201" s="121"/>
      <c r="P201" s="122"/>
      <c r="Q201" s="97"/>
      <c r="R201" s="89"/>
    </row>
    <row r="202" ht="42.600000000000001" customHeight="1">
      <c r="A202" s="117"/>
      <c r="B202" s="165" t="s">
        <v>159</v>
      </c>
      <c r="C202" s="56"/>
      <c r="D202" s="56"/>
      <c r="E202" s="56"/>
      <c r="F202" s="56"/>
      <c r="G202" s="125"/>
      <c r="H202" s="158"/>
      <c r="I202" s="158"/>
      <c r="J202" s="127"/>
      <c r="K202" s="53"/>
      <c r="L202" s="53"/>
      <c r="M202" s="89"/>
      <c r="N202" s="89"/>
      <c r="O202" s="121"/>
      <c r="P202" s="122"/>
      <c r="Q202" s="97"/>
      <c r="R202" s="89"/>
    </row>
    <row r="203" ht="42.600000000000001" customHeight="1">
      <c r="A203" s="117"/>
      <c r="B203" s="145" t="s">
        <v>160</v>
      </c>
      <c r="C203" s="56"/>
      <c r="D203" s="56"/>
      <c r="E203" s="56"/>
      <c r="F203" s="56"/>
      <c r="G203" s="125"/>
      <c r="H203" s="158"/>
      <c r="I203" s="158"/>
      <c r="J203" s="127"/>
      <c r="K203" s="53"/>
      <c r="L203" s="53"/>
      <c r="M203" s="89" t="s">
        <v>156</v>
      </c>
      <c r="N203" s="89">
        <f>9*1.3</f>
        <v>11.700000000000001</v>
      </c>
      <c r="O203" s="121">
        <v>91.909999999999997</v>
      </c>
      <c r="P203" s="122"/>
      <c r="Q203" s="97">
        <f>N203*O203</f>
        <v>1075.347</v>
      </c>
      <c r="R203" s="100">
        <f>Q203</f>
        <v>1075.347</v>
      </c>
    </row>
    <row r="204" ht="42.600000000000001" customHeight="1">
      <c r="A204" s="117"/>
      <c r="B204" s="174"/>
      <c r="C204" s="56"/>
      <c r="D204" s="56"/>
      <c r="E204" s="56"/>
      <c r="F204" s="56"/>
      <c r="G204" s="125"/>
      <c r="H204" s="158"/>
      <c r="I204" s="158"/>
      <c r="J204" s="127"/>
      <c r="K204" s="53"/>
      <c r="L204" s="53"/>
      <c r="M204" s="89"/>
      <c r="N204" s="89"/>
      <c r="O204" s="121"/>
      <c r="P204" s="122"/>
      <c r="Q204" s="97"/>
      <c r="R204" s="89"/>
    </row>
    <row r="205" ht="42.600000000000001" customHeight="1">
      <c r="A205" s="117" t="s">
        <v>72</v>
      </c>
      <c r="B205" s="164" t="s">
        <v>178</v>
      </c>
      <c r="C205" s="56"/>
      <c r="D205" s="56"/>
      <c r="E205" s="56"/>
      <c r="F205" s="56"/>
      <c r="G205" s="125"/>
      <c r="H205" s="158"/>
      <c r="I205" s="158"/>
      <c r="J205" s="127"/>
      <c r="K205" s="53"/>
      <c r="L205" s="53"/>
      <c r="M205" s="89"/>
      <c r="N205" s="89"/>
      <c r="O205" s="121"/>
      <c r="P205" s="122"/>
      <c r="Q205" s="97"/>
      <c r="R205" s="89"/>
    </row>
    <row r="206" ht="42.600000000000001" customHeight="1">
      <c r="A206" s="117"/>
      <c r="B206" s="144" t="s">
        <v>179</v>
      </c>
      <c r="C206" s="56"/>
      <c r="D206" s="56"/>
      <c r="E206" s="56"/>
      <c r="F206" s="56"/>
      <c r="G206" s="125"/>
      <c r="H206" s="158"/>
      <c r="I206" s="158"/>
      <c r="J206" s="127"/>
      <c r="K206" s="53"/>
      <c r="L206" s="53"/>
      <c r="M206" s="89"/>
      <c r="N206" s="89"/>
      <c r="O206" s="121"/>
      <c r="P206" s="122"/>
      <c r="Q206" s="97"/>
      <c r="R206" s="89"/>
    </row>
    <row r="207" ht="42.600000000000001" customHeight="1">
      <c r="A207" s="117"/>
      <c r="B207" s="144" t="s">
        <v>180</v>
      </c>
      <c r="D207" s="56"/>
      <c r="E207" s="56"/>
      <c r="F207" s="56"/>
      <c r="G207" s="125"/>
      <c r="H207" s="158"/>
      <c r="I207" s="158"/>
      <c r="J207" s="127"/>
      <c r="K207" s="53"/>
      <c r="L207" s="53"/>
      <c r="M207" s="89"/>
      <c r="N207" s="89"/>
      <c r="O207" s="121"/>
      <c r="P207" s="122"/>
      <c r="Q207" s="97"/>
      <c r="R207" s="89"/>
    </row>
    <row r="208" ht="42.600000000000001" customHeight="1">
      <c r="A208" s="117"/>
      <c r="B208" s="145" t="s">
        <v>181</v>
      </c>
      <c r="C208" s="56"/>
      <c r="D208" s="56"/>
      <c r="E208" s="56"/>
      <c r="F208" s="56"/>
      <c r="G208" s="125"/>
      <c r="H208" s="153"/>
      <c r="I208" s="153"/>
      <c r="J208" s="153"/>
      <c r="K208" s="53"/>
      <c r="L208" s="53"/>
      <c r="M208" s="89" t="s">
        <v>97</v>
      </c>
      <c r="N208" s="89">
        <v>6</v>
      </c>
      <c r="O208" s="97">
        <v>201.03</v>
      </c>
      <c r="P208" s="98"/>
      <c r="Q208" s="97">
        <f>N208*O208</f>
        <v>1206.1800000000001</v>
      </c>
      <c r="R208" s="89"/>
    </row>
    <row r="209" s="132" customFormat="1" ht="42.600000000000001" customHeight="1">
      <c r="A209" s="131"/>
      <c r="B209" s="176" t="s">
        <v>182</v>
      </c>
      <c r="C209" s="132"/>
      <c r="D209" s="132"/>
      <c r="E209" s="132"/>
      <c r="F209" s="132"/>
      <c r="G209" s="133"/>
      <c r="H209" s="136"/>
      <c r="I209" s="136"/>
      <c r="J209" s="177"/>
      <c r="K209" s="178"/>
      <c r="L209" s="178"/>
      <c r="M209" s="138" t="s">
        <v>97</v>
      </c>
      <c r="N209" s="138">
        <v>8</v>
      </c>
      <c r="O209" s="140">
        <v>187</v>
      </c>
      <c r="P209" s="141"/>
      <c r="R209" s="140">
        <f>N209*O209</f>
        <v>1496</v>
      </c>
    </row>
    <row r="210" ht="42.600000000000001" customHeight="1">
      <c r="A210" s="117" t="s">
        <v>78</v>
      </c>
      <c r="B210" s="170" t="s">
        <v>104</v>
      </c>
      <c r="C210" s="56"/>
      <c r="D210" s="56"/>
      <c r="E210" s="56"/>
      <c r="F210" s="56"/>
      <c r="G210" s="125"/>
      <c r="H210" s="158"/>
      <c r="I210" s="158"/>
      <c r="J210" s="127"/>
      <c r="K210" s="53"/>
      <c r="L210" s="53"/>
      <c r="M210" s="89"/>
      <c r="N210" s="89"/>
      <c r="O210" s="121"/>
      <c r="P210" s="122"/>
      <c r="Q210" s="97"/>
      <c r="R210" s="89"/>
    </row>
    <row r="211" ht="42.600000000000001" customHeight="1">
      <c r="A211" s="117"/>
      <c r="B211" s="145" t="s">
        <v>183</v>
      </c>
      <c r="C211" s="56"/>
      <c r="D211" s="56"/>
      <c r="E211" s="56"/>
      <c r="F211" s="56"/>
      <c r="G211" s="125"/>
      <c r="H211" s="158"/>
      <c r="I211" s="158"/>
      <c r="J211" s="127"/>
      <c r="K211" s="53"/>
      <c r="L211" s="53"/>
      <c r="M211" s="89"/>
      <c r="N211" s="89"/>
      <c r="O211" s="121"/>
      <c r="P211" s="122"/>
      <c r="Q211" s="97"/>
      <c r="R211" s="89"/>
    </row>
    <row r="212" ht="42.600000000000001" customHeight="1">
      <c r="A212" s="117"/>
      <c r="B212" s="179" t="s">
        <v>106</v>
      </c>
      <c r="C212" s="56"/>
      <c r="D212" s="56"/>
      <c r="E212" s="56"/>
      <c r="F212" s="56"/>
      <c r="G212" s="125"/>
      <c r="H212" s="158"/>
      <c r="I212" s="158"/>
      <c r="J212" s="127"/>
      <c r="K212" s="53"/>
      <c r="L212" s="53"/>
      <c r="M212" s="89"/>
      <c r="N212" s="89"/>
      <c r="O212" s="121"/>
      <c r="P212" s="122"/>
      <c r="Q212" s="97"/>
      <c r="R212" s="89"/>
    </row>
    <row r="213" ht="42.600000000000001" customHeight="1">
      <c r="A213" s="117"/>
      <c r="B213" s="145" t="s">
        <v>181</v>
      </c>
      <c r="C213" s="56"/>
      <c r="D213" s="56"/>
      <c r="E213" s="56"/>
      <c r="F213" s="56"/>
      <c r="G213" s="125"/>
      <c r="H213" s="158"/>
      <c r="I213" s="158"/>
      <c r="J213" s="127"/>
      <c r="K213" s="53"/>
      <c r="L213" s="53"/>
      <c r="M213" s="89" t="s">
        <v>97</v>
      </c>
      <c r="N213" s="89">
        <v>8</v>
      </c>
      <c r="O213" s="97">
        <v>122.19</v>
      </c>
      <c r="P213" s="98"/>
      <c r="Q213" s="97">
        <f>N213*O213</f>
        <v>977.51999999999998</v>
      </c>
      <c r="R213" s="89"/>
    </row>
    <row r="214" s="180" customFormat="1" ht="42.600000000000001" customHeight="1">
      <c r="A214" s="181"/>
      <c r="B214" s="182" t="s">
        <v>184</v>
      </c>
      <c r="C214" s="180"/>
      <c r="D214" s="180"/>
      <c r="E214" s="180"/>
      <c r="F214" s="180"/>
      <c r="G214" s="183"/>
      <c r="H214" s="184"/>
      <c r="I214" s="184"/>
      <c r="J214" s="185"/>
      <c r="K214" s="186"/>
      <c r="L214" s="186"/>
      <c r="M214" s="187" t="s">
        <v>97</v>
      </c>
      <c r="N214" s="187">
        <v>8</v>
      </c>
      <c r="O214" s="188">
        <v>112.41</v>
      </c>
      <c r="P214" s="189"/>
      <c r="R214" s="188">
        <f>N214*O214</f>
        <v>899.27999999999997</v>
      </c>
    </row>
    <row r="215" ht="42.600000000000001" customHeight="1">
      <c r="A215" s="117"/>
      <c r="B215" s="120" t="s">
        <v>86</v>
      </c>
      <c r="C215" s="56"/>
      <c r="D215" s="56"/>
      <c r="E215" s="56"/>
      <c r="F215" s="56"/>
      <c r="G215" s="125"/>
      <c r="H215" s="158"/>
      <c r="I215" s="158"/>
      <c r="J215" s="127"/>
      <c r="K215" s="53"/>
      <c r="L215" s="53"/>
      <c r="M215" s="89"/>
      <c r="N215" s="89"/>
      <c r="O215" s="121"/>
      <c r="P215" s="122"/>
      <c r="Q215" s="97"/>
      <c r="R215" s="89"/>
    </row>
    <row r="216" ht="42.600000000000001" customHeight="1">
      <c r="A216" s="117"/>
      <c r="B216" s="144" t="s">
        <v>87</v>
      </c>
      <c r="C216" s="56"/>
      <c r="D216" s="56"/>
      <c r="E216" s="56"/>
      <c r="F216" s="56"/>
      <c r="G216" s="125"/>
      <c r="H216" s="158"/>
      <c r="I216" s="158"/>
      <c r="J216" s="127"/>
      <c r="K216" s="53"/>
      <c r="L216" s="53"/>
      <c r="M216" s="89"/>
      <c r="N216" s="89"/>
      <c r="O216" s="121"/>
      <c r="P216" s="122"/>
      <c r="Q216" s="97"/>
      <c r="R216" s="89"/>
    </row>
    <row r="217" ht="42.600000000000001" customHeight="1">
      <c r="A217" s="117"/>
      <c r="B217" s="190" t="s">
        <v>185</v>
      </c>
      <c r="D217" s="56"/>
      <c r="E217" s="56"/>
      <c r="F217" s="56"/>
      <c r="G217" s="125"/>
      <c r="H217" s="158"/>
      <c r="I217" s="158"/>
      <c r="J217" s="127"/>
      <c r="K217" s="53"/>
      <c r="L217" s="53"/>
      <c r="M217" s="89" t="s">
        <v>23</v>
      </c>
      <c r="N217" s="89"/>
      <c r="O217" s="97">
        <v>425</v>
      </c>
      <c r="P217" s="98"/>
      <c r="Q217" s="97">
        <f>O217</f>
        <v>425</v>
      </c>
      <c r="R217" s="100">
        <f>Q217</f>
        <v>425</v>
      </c>
    </row>
    <row r="218" ht="42.600000000000001" customHeight="1">
      <c r="A218" s="117"/>
      <c r="B218" s="163"/>
      <c r="C218" s="56"/>
      <c r="D218" s="56"/>
      <c r="E218" s="56"/>
      <c r="F218" s="56"/>
      <c r="G218" s="125"/>
      <c r="H218" s="158"/>
      <c r="I218" s="158"/>
      <c r="J218" s="127"/>
      <c r="K218" s="53"/>
      <c r="L218" s="53"/>
      <c r="M218" s="89"/>
      <c r="N218" s="89"/>
      <c r="O218" s="121"/>
      <c r="P218" s="122"/>
      <c r="Q218" s="97"/>
      <c r="R218" s="89"/>
    </row>
    <row r="219" ht="42.600000000000001" customHeight="1">
      <c r="A219" s="117"/>
      <c r="B219" s="163"/>
      <c r="C219" s="56"/>
      <c r="D219" s="56"/>
      <c r="E219" s="56"/>
      <c r="F219" s="56"/>
      <c r="G219" s="125"/>
      <c r="H219" s="158"/>
      <c r="I219" s="158"/>
      <c r="J219" s="127"/>
      <c r="K219" s="53"/>
      <c r="L219" s="53"/>
      <c r="M219" s="89"/>
      <c r="N219" s="89"/>
      <c r="O219" s="121"/>
      <c r="P219" s="122"/>
      <c r="Q219" s="97"/>
      <c r="R219" s="89"/>
    </row>
    <row r="220" ht="42.600000000000001" customHeight="1">
      <c r="A220" s="117"/>
      <c r="B220" s="163"/>
      <c r="C220" s="56"/>
      <c r="D220" s="56"/>
      <c r="E220" s="56"/>
      <c r="F220" s="56"/>
      <c r="G220" s="125"/>
      <c r="H220" s="158"/>
      <c r="I220" s="158"/>
      <c r="J220" s="127"/>
      <c r="K220" s="53"/>
      <c r="L220" s="53"/>
      <c r="M220" s="89"/>
      <c r="N220" s="89"/>
      <c r="O220" s="121"/>
      <c r="P220" s="122"/>
      <c r="Q220" s="97"/>
      <c r="R220" s="89"/>
    </row>
    <row r="221" ht="42.600000000000001" customHeight="1">
      <c r="A221" s="117"/>
      <c r="B221" s="163"/>
      <c r="C221" s="56"/>
      <c r="D221" s="56"/>
      <c r="E221" s="56"/>
      <c r="F221" s="56"/>
      <c r="G221" s="125"/>
      <c r="H221" s="158"/>
      <c r="I221" s="158"/>
      <c r="J221" s="127"/>
      <c r="K221" s="53"/>
      <c r="L221" s="53"/>
      <c r="M221" s="89"/>
      <c r="N221" s="89"/>
      <c r="O221" s="121"/>
      <c r="P221" s="122"/>
      <c r="Q221" s="97"/>
      <c r="R221" s="89"/>
    </row>
    <row r="222" ht="42.600000000000001" customHeight="1">
      <c r="A222" s="117"/>
      <c r="B222" s="56"/>
      <c r="C222" s="56"/>
      <c r="D222" s="56"/>
      <c r="E222" s="56"/>
      <c r="F222" s="56"/>
      <c r="G222" s="125"/>
      <c r="H222" s="158"/>
      <c r="I222" s="158"/>
      <c r="J222" s="127"/>
      <c r="K222" s="53"/>
      <c r="L222" s="53"/>
      <c r="M222" s="89"/>
      <c r="N222" s="89"/>
      <c r="O222" s="121"/>
      <c r="P222" s="122"/>
      <c r="Q222" s="97"/>
      <c r="R222" s="89"/>
    </row>
    <row r="223" ht="42.600000000000001" customHeight="1">
      <c r="A223" s="117"/>
      <c r="B223" s="56"/>
      <c r="C223" s="56"/>
      <c r="D223" s="56"/>
      <c r="E223" s="56"/>
      <c r="F223" s="56"/>
      <c r="G223" s="125"/>
      <c r="H223" s="158"/>
      <c r="I223" s="158"/>
      <c r="J223" s="127"/>
      <c r="K223" s="53"/>
      <c r="L223" s="53"/>
      <c r="M223" s="89"/>
      <c r="N223" s="89"/>
      <c r="O223" s="121"/>
      <c r="P223" s="122"/>
      <c r="Q223" s="97"/>
      <c r="R223" s="89"/>
    </row>
    <row r="224" ht="42.600000000000001" customHeight="1">
      <c r="A224" s="117"/>
      <c r="B224" s="56"/>
      <c r="C224" s="56"/>
      <c r="D224" s="56"/>
      <c r="E224" s="56"/>
      <c r="F224" s="56"/>
      <c r="G224" s="125"/>
      <c r="H224" s="158"/>
      <c r="I224" s="158"/>
      <c r="J224" s="127"/>
      <c r="K224" s="53"/>
      <c r="L224" s="53"/>
      <c r="M224" s="89"/>
      <c r="N224" s="89"/>
      <c r="O224" s="121"/>
      <c r="P224" s="122"/>
      <c r="Q224" s="97"/>
      <c r="R224" s="89"/>
    </row>
    <row r="225" ht="42.600000000000001" customHeight="1">
      <c r="A225" s="117"/>
      <c r="B225" s="56"/>
      <c r="C225" s="56"/>
      <c r="D225" s="56"/>
      <c r="E225" s="56"/>
      <c r="F225" s="56"/>
      <c r="G225" s="125"/>
      <c r="H225" s="158"/>
      <c r="I225" s="158"/>
      <c r="J225" s="127"/>
      <c r="K225" s="53"/>
      <c r="L225" s="53"/>
      <c r="M225" s="89"/>
      <c r="N225" s="89"/>
      <c r="O225" s="121"/>
      <c r="P225" s="122"/>
      <c r="Q225" s="97"/>
      <c r="R225" s="89"/>
    </row>
    <row r="226" ht="42.600000000000001" customHeight="1">
      <c r="A226" s="117"/>
      <c r="B226" s="56"/>
      <c r="C226" s="56"/>
      <c r="D226" s="56"/>
      <c r="E226" s="56"/>
      <c r="F226" s="56"/>
      <c r="G226" s="125"/>
      <c r="H226" s="158"/>
      <c r="I226" s="158"/>
      <c r="J226" s="127"/>
      <c r="K226" s="53"/>
      <c r="L226" s="53"/>
      <c r="M226" s="89"/>
      <c r="N226" s="89"/>
      <c r="O226" s="121"/>
      <c r="P226" s="122"/>
      <c r="Q226" s="97"/>
      <c r="R226" s="89"/>
    </row>
    <row r="227" ht="42.600000000000001" customHeight="1">
      <c r="A227" s="117"/>
      <c r="B227" s="56"/>
      <c r="C227" s="56"/>
      <c r="D227" s="56"/>
      <c r="E227" s="56"/>
      <c r="F227" s="56"/>
      <c r="G227" s="125"/>
      <c r="H227" s="158"/>
      <c r="I227" s="158"/>
      <c r="J227" s="127"/>
      <c r="K227" s="53"/>
      <c r="L227" s="53"/>
      <c r="M227" s="89"/>
      <c r="N227" s="89"/>
      <c r="O227" s="121"/>
      <c r="P227" s="122"/>
      <c r="Q227" s="97"/>
      <c r="R227" s="89"/>
    </row>
    <row r="228" ht="42.600000000000001" customHeight="1">
      <c r="A228" s="117"/>
      <c r="B228" s="56"/>
      <c r="C228" s="56"/>
      <c r="D228" s="56"/>
      <c r="E228" s="56"/>
      <c r="F228" s="56"/>
      <c r="G228" s="125"/>
      <c r="H228" s="158"/>
      <c r="I228" s="158"/>
      <c r="J228" s="127"/>
      <c r="K228" s="53"/>
      <c r="L228" s="53"/>
      <c r="M228" s="89"/>
      <c r="N228" s="89"/>
      <c r="O228" s="121"/>
      <c r="P228" s="122"/>
      <c r="Q228" s="97"/>
      <c r="R228" s="89"/>
    </row>
    <row r="229" ht="42.600000000000001" customHeight="1">
      <c r="A229" s="117"/>
      <c r="B229" s="56"/>
      <c r="C229" s="56"/>
      <c r="D229" s="56"/>
      <c r="E229" s="56"/>
      <c r="F229" s="56"/>
      <c r="G229" s="125"/>
      <c r="H229" s="158"/>
      <c r="I229" s="158"/>
      <c r="J229" s="127"/>
      <c r="K229" s="53"/>
      <c r="L229" s="53"/>
      <c r="M229" s="89"/>
      <c r="N229" s="89"/>
      <c r="O229" s="121"/>
      <c r="P229" s="122"/>
      <c r="Q229" s="97"/>
      <c r="R229" s="89"/>
    </row>
    <row r="230" ht="42.600000000000001" customHeight="1">
      <c r="A230" s="117"/>
      <c r="B230" s="56"/>
      <c r="C230" s="56"/>
      <c r="D230" s="56"/>
      <c r="E230" s="56"/>
      <c r="F230" s="56"/>
      <c r="G230" s="125"/>
      <c r="H230" s="158"/>
      <c r="I230" s="158"/>
      <c r="J230" s="127"/>
      <c r="K230" s="53"/>
      <c r="L230" s="53"/>
      <c r="M230" s="89"/>
      <c r="N230" s="89"/>
      <c r="O230" s="121"/>
      <c r="P230" s="122"/>
      <c r="Q230" s="97"/>
      <c r="R230" s="89"/>
    </row>
    <row r="231" ht="42.600000000000001" customHeight="1">
      <c r="A231" s="117"/>
      <c r="B231" s="56"/>
      <c r="C231" s="56"/>
      <c r="D231" s="56"/>
      <c r="E231" s="56"/>
      <c r="F231" s="56"/>
      <c r="G231" s="125"/>
      <c r="H231" s="158"/>
      <c r="I231" s="158"/>
      <c r="J231" s="127"/>
      <c r="K231" s="53"/>
      <c r="L231" s="53"/>
      <c r="M231" s="89"/>
      <c r="N231" s="89"/>
      <c r="O231" s="121"/>
      <c r="P231" s="122"/>
      <c r="Q231" s="97"/>
      <c r="R231" s="89"/>
    </row>
    <row r="232" ht="42.600000000000001" customHeight="1">
      <c r="A232" s="117"/>
      <c r="B232" s="56"/>
      <c r="C232" s="56"/>
      <c r="D232" s="56"/>
      <c r="E232" s="56"/>
      <c r="F232" s="56"/>
      <c r="G232" s="125"/>
      <c r="H232" s="158"/>
      <c r="I232" s="158"/>
      <c r="J232" s="127"/>
      <c r="K232" s="53"/>
      <c r="L232" s="53"/>
      <c r="M232" s="89"/>
      <c r="N232" s="89"/>
      <c r="O232" s="121"/>
      <c r="P232" s="122"/>
      <c r="Q232" s="97"/>
      <c r="R232" s="89"/>
    </row>
    <row r="233" ht="42.600000000000001" customHeight="1">
      <c r="A233" s="117"/>
      <c r="B233" s="56"/>
      <c r="C233" s="56"/>
      <c r="D233" s="56"/>
      <c r="E233" s="56"/>
      <c r="F233" s="56"/>
      <c r="G233" s="125"/>
      <c r="H233" s="158"/>
      <c r="I233" s="158"/>
      <c r="J233" s="127"/>
      <c r="K233" s="53"/>
      <c r="L233" s="53"/>
      <c r="M233" s="89"/>
      <c r="N233" s="89"/>
      <c r="O233" s="121"/>
      <c r="P233" s="122"/>
      <c r="Q233" s="97"/>
      <c r="R233" s="89"/>
    </row>
    <row r="234" ht="42.600000000000001" customHeight="1">
      <c r="A234" s="117"/>
      <c r="B234" s="56"/>
      <c r="C234" s="56"/>
      <c r="D234" s="56"/>
      <c r="E234" s="56"/>
      <c r="F234" s="56"/>
      <c r="G234" s="125"/>
      <c r="H234" s="158"/>
      <c r="I234" s="158"/>
      <c r="J234" s="127"/>
      <c r="K234" s="53"/>
      <c r="L234" s="53"/>
      <c r="M234" s="89"/>
      <c r="N234" s="89"/>
      <c r="O234" s="121"/>
      <c r="P234" s="122"/>
      <c r="Q234" s="97"/>
      <c r="R234" s="89"/>
    </row>
    <row r="235" ht="42.600000000000001" customHeight="1">
      <c r="A235" s="117"/>
      <c r="B235" s="56"/>
      <c r="C235" s="56"/>
      <c r="D235" s="56"/>
      <c r="E235" s="56"/>
      <c r="F235" s="56"/>
      <c r="G235" s="125"/>
      <c r="H235" s="158"/>
      <c r="I235" s="158"/>
      <c r="J235" s="127"/>
      <c r="K235" s="53"/>
      <c r="L235" s="53"/>
      <c r="M235" s="89"/>
      <c r="N235" s="89"/>
      <c r="O235" s="121"/>
      <c r="P235" s="122"/>
      <c r="Q235" s="97"/>
      <c r="R235" s="89"/>
    </row>
    <row r="236" ht="42.600000000000001" customHeight="1">
      <c r="A236" s="117"/>
      <c r="B236" s="56"/>
      <c r="C236" s="56"/>
      <c r="D236" s="56"/>
      <c r="E236" s="56"/>
      <c r="F236" s="56"/>
      <c r="G236" s="125"/>
      <c r="H236" s="158"/>
      <c r="I236" s="158"/>
      <c r="J236" s="127"/>
      <c r="K236" s="53"/>
      <c r="L236" s="53"/>
      <c r="M236" s="89"/>
      <c r="N236" s="89"/>
      <c r="O236" s="121"/>
      <c r="P236" s="122"/>
      <c r="Q236" s="97"/>
      <c r="R236" s="89"/>
    </row>
    <row r="237" ht="42.600000000000001" customHeight="1">
      <c r="A237" s="117"/>
      <c r="B237" s="56"/>
      <c r="C237" s="56"/>
      <c r="D237" s="56"/>
      <c r="E237" s="56"/>
      <c r="F237" s="56"/>
      <c r="G237" s="125"/>
      <c r="H237" s="158"/>
      <c r="I237" s="158"/>
      <c r="J237" s="127"/>
      <c r="K237" s="53"/>
      <c r="L237" s="53"/>
      <c r="M237" s="89"/>
      <c r="N237" s="89"/>
      <c r="O237" s="121"/>
      <c r="P237" s="122"/>
      <c r="Q237" s="97"/>
      <c r="R237" s="89"/>
    </row>
    <row r="238" ht="42.600000000000001" customHeight="1">
      <c r="A238" s="117"/>
      <c r="B238" s="56"/>
      <c r="C238" s="56"/>
      <c r="D238" s="56"/>
      <c r="E238" s="56"/>
      <c r="F238" s="56"/>
      <c r="G238" s="125"/>
      <c r="H238" s="158"/>
      <c r="I238" s="158"/>
      <c r="J238" s="127"/>
      <c r="K238" s="53"/>
      <c r="L238" s="53"/>
      <c r="M238" s="89"/>
      <c r="N238" s="89"/>
      <c r="O238" s="121"/>
      <c r="P238" s="122"/>
      <c r="Q238" s="97"/>
      <c r="R238" s="89"/>
    </row>
    <row r="239" ht="42.600000000000001" customHeight="1">
      <c r="A239" s="66" t="s">
        <v>42</v>
      </c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8"/>
      <c r="Q239" s="105">
        <f>SUM(Q181:Q238)</f>
        <v>6364.4539999999997</v>
      </c>
      <c r="R239" s="106">
        <f>SUM(R183:R238)</f>
        <v>6576.0339999999997</v>
      </c>
    </row>
    <row r="240" ht="60" customHeight="1">
      <c r="A240" s="69" t="s">
        <v>7</v>
      </c>
      <c r="B240" s="70" t="s">
        <v>8</v>
      </c>
      <c r="C240" s="71"/>
      <c r="D240" s="71"/>
      <c r="E240" s="71"/>
      <c r="F240" s="71"/>
      <c r="G240" s="71"/>
      <c r="H240" s="71"/>
      <c r="I240" s="71"/>
      <c r="J240" s="71"/>
      <c r="K240" s="71"/>
      <c r="L240" s="107"/>
      <c r="M240" s="108" t="s">
        <v>9</v>
      </c>
      <c r="N240" s="108" t="s">
        <v>10</v>
      </c>
      <c r="O240" s="109" t="s">
        <v>11</v>
      </c>
      <c r="P240" s="110"/>
      <c r="Q240" s="108" t="s">
        <v>12</v>
      </c>
      <c r="R240" s="111" t="s">
        <v>12</v>
      </c>
    </row>
    <row r="241" ht="42.600000000000001" customHeight="1">
      <c r="A241" s="78"/>
      <c r="B241" s="112" t="s">
        <v>186</v>
      </c>
      <c r="C241" s="113"/>
      <c r="D241" s="113"/>
      <c r="E241" s="113"/>
      <c r="F241" s="113"/>
      <c r="G241" s="113"/>
      <c r="H241" s="113"/>
      <c r="I241" s="113"/>
      <c r="J241" s="113"/>
      <c r="K241" s="114"/>
      <c r="L241" s="53"/>
      <c r="M241" s="80"/>
      <c r="N241" s="80"/>
      <c r="O241" s="81"/>
      <c r="P241" s="82"/>
      <c r="Q241" s="81"/>
      <c r="R241" s="89"/>
    </row>
    <row r="242" ht="42.600000000000001" customHeight="1">
      <c r="A242" s="78"/>
      <c r="B242" s="84" t="s">
        <v>187</v>
      </c>
      <c r="C242" s="85"/>
      <c r="D242" s="85"/>
      <c r="E242" s="85"/>
      <c r="F242" s="85"/>
      <c r="G242" s="85"/>
      <c r="H242" s="85"/>
      <c r="I242" s="85"/>
      <c r="J242" s="85"/>
      <c r="K242" s="85"/>
      <c r="L242" s="115"/>
      <c r="M242" s="86"/>
      <c r="N242" s="86"/>
      <c r="O242" s="87"/>
      <c r="P242" s="88"/>
      <c r="Q242" s="87"/>
      <c r="R242" s="89"/>
    </row>
    <row r="243" ht="42.600000000000001" customHeight="1">
      <c r="A243" s="78"/>
      <c r="B243" s="116"/>
      <c r="C243" s="52"/>
      <c r="D243" s="54"/>
      <c r="E243" s="52"/>
      <c r="F243" s="52"/>
      <c r="G243" s="52"/>
      <c r="H243" s="52"/>
      <c r="I243" s="52"/>
      <c r="J243" s="52"/>
      <c r="K243" s="53"/>
      <c r="L243" s="53"/>
      <c r="M243" s="86"/>
      <c r="N243" s="86"/>
      <c r="O243" s="87"/>
      <c r="P243" s="88"/>
      <c r="Q243" s="87"/>
      <c r="R243" s="89"/>
    </row>
    <row r="244" ht="42.600000000000001" customHeight="1">
      <c r="A244" s="93" t="s">
        <v>15</v>
      </c>
      <c r="B244" s="164" t="s">
        <v>188</v>
      </c>
      <c r="C244" s="153"/>
      <c r="D244" s="153"/>
      <c r="E244" s="153"/>
      <c r="F244" s="153"/>
      <c r="G244" s="153"/>
      <c r="H244" s="153"/>
      <c r="I244" s="153"/>
      <c r="J244" s="153"/>
      <c r="K244" s="53"/>
      <c r="L244" s="53"/>
      <c r="M244" s="89"/>
      <c r="N244" s="89"/>
      <c r="O244" s="121"/>
      <c r="P244" s="122"/>
      <c r="Q244" s="121"/>
      <c r="R244" s="89"/>
    </row>
    <row r="245" ht="42.600000000000001" customHeight="1">
      <c r="A245" s="93"/>
      <c r="B245" s="145" t="s">
        <v>189</v>
      </c>
      <c r="C245" s="52"/>
      <c r="D245" s="54"/>
      <c r="E245" s="52"/>
      <c r="F245" s="52"/>
      <c r="G245" s="52"/>
      <c r="H245" s="52"/>
      <c r="I245" s="52"/>
      <c r="J245" s="52"/>
      <c r="K245" s="53"/>
      <c r="L245" s="53"/>
      <c r="M245" s="86"/>
      <c r="N245" s="89"/>
      <c r="O245" s="121"/>
      <c r="P245" s="122"/>
      <c r="Q245" s="121"/>
      <c r="R245" s="89"/>
    </row>
    <row r="246" ht="42.600000000000001" customHeight="1">
      <c r="A246" s="93"/>
      <c r="B246" s="145" t="s">
        <v>190</v>
      </c>
      <c r="C246" s="56"/>
      <c r="D246" s="56"/>
      <c r="E246" s="150"/>
      <c r="F246" s="56"/>
      <c r="G246" s="151"/>
      <c r="H246" s="52"/>
      <c r="I246" s="52"/>
      <c r="J246" s="92"/>
      <c r="K246" s="53"/>
      <c r="L246" s="53"/>
      <c r="M246" s="89"/>
      <c r="N246" s="152"/>
      <c r="O246" s="97"/>
      <c r="P246" s="98"/>
      <c r="Q246" s="99"/>
      <c r="R246" s="89"/>
    </row>
    <row r="247" ht="42.600000000000001" customHeight="1">
      <c r="A247" s="93"/>
      <c r="B247" s="145" t="s">
        <v>191</v>
      </c>
      <c r="C247" s="56"/>
      <c r="D247" s="56"/>
      <c r="E247" s="56"/>
      <c r="F247" s="56"/>
      <c r="G247" s="125"/>
      <c r="H247" s="52"/>
      <c r="I247" s="52"/>
      <c r="J247" s="127"/>
      <c r="K247" s="53"/>
      <c r="L247" s="53"/>
      <c r="M247" s="89"/>
      <c r="N247" s="89"/>
      <c r="O247" s="97"/>
      <c r="P247" s="98"/>
      <c r="Q247" s="97"/>
      <c r="R247" s="89"/>
    </row>
    <row r="248" ht="42.600000000000001" customHeight="1">
      <c r="A248" s="93"/>
      <c r="B248" s="145" t="s">
        <v>192</v>
      </c>
      <c r="C248" s="56"/>
      <c r="D248" s="56"/>
      <c r="E248" s="56"/>
      <c r="F248" s="56"/>
      <c r="G248" s="125"/>
      <c r="H248" s="158"/>
      <c r="I248" s="158"/>
      <c r="J248" s="127"/>
      <c r="K248" s="53"/>
      <c r="L248" s="53"/>
      <c r="M248" s="89"/>
      <c r="N248" s="89"/>
      <c r="O248" s="97"/>
      <c r="P248" s="98"/>
      <c r="Q248" s="97"/>
      <c r="R248" s="89"/>
    </row>
    <row r="249" ht="42.600000000000001" customHeight="1">
      <c r="A249" s="93"/>
      <c r="B249" s="145" t="s">
        <v>193</v>
      </c>
      <c r="C249" s="56"/>
      <c r="D249" s="56"/>
      <c r="E249" s="56"/>
      <c r="F249" s="56"/>
      <c r="G249" s="125"/>
      <c r="H249" s="158"/>
      <c r="I249" s="158"/>
      <c r="J249" s="127"/>
      <c r="K249" s="53"/>
      <c r="L249" s="53"/>
      <c r="M249" s="89"/>
      <c r="N249" s="89"/>
      <c r="O249" s="97"/>
      <c r="P249" s="98"/>
      <c r="Q249" s="97"/>
      <c r="R249" s="89"/>
    </row>
    <row r="250" ht="42.600000000000001" customHeight="1">
      <c r="A250" s="104"/>
      <c r="B250" s="145" t="s">
        <v>194</v>
      </c>
      <c r="C250" s="56"/>
      <c r="D250" s="56"/>
      <c r="E250" s="56"/>
      <c r="F250" s="56"/>
      <c r="G250" s="125"/>
      <c r="H250" s="158"/>
      <c r="I250" s="158"/>
      <c r="J250" s="127"/>
      <c r="K250" s="53"/>
      <c r="L250" s="53"/>
      <c r="M250" s="89"/>
      <c r="N250" s="89"/>
      <c r="O250" s="97"/>
      <c r="P250" s="98"/>
      <c r="Q250" s="97"/>
      <c r="R250" s="89"/>
    </row>
    <row r="251" ht="42.600000000000001" customHeight="1">
      <c r="A251" s="104"/>
      <c r="B251" s="145" t="s">
        <v>195</v>
      </c>
      <c r="C251" s="56"/>
      <c r="D251" s="56"/>
      <c r="E251" s="56"/>
      <c r="F251" s="56"/>
      <c r="G251" s="125"/>
      <c r="H251" s="158"/>
      <c r="I251" s="158"/>
      <c r="J251" s="127"/>
      <c r="K251" s="53"/>
      <c r="L251" s="53"/>
      <c r="M251" s="89"/>
      <c r="N251" s="89"/>
      <c r="O251" s="97"/>
      <c r="P251" s="98"/>
      <c r="Q251" s="97"/>
      <c r="R251" s="89"/>
    </row>
    <row r="252" ht="42.600000000000001" customHeight="1">
      <c r="A252" s="93"/>
      <c r="B252" s="145" t="s">
        <v>196</v>
      </c>
      <c r="C252" s="56"/>
      <c r="D252" s="56"/>
      <c r="E252" s="56"/>
      <c r="F252" s="56"/>
      <c r="G252" s="125"/>
      <c r="H252" s="158"/>
      <c r="I252" s="158"/>
      <c r="J252" s="127"/>
      <c r="K252" s="53"/>
      <c r="L252" s="53"/>
      <c r="M252" s="89"/>
      <c r="N252" s="89"/>
      <c r="O252" s="121"/>
      <c r="P252" s="122"/>
      <c r="Q252" s="97"/>
      <c r="R252" s="89"/>
    </row>
    <row r="253" ht="42.600000000000001" customHeight="1">
      <c r="A253" s="117"/>
      <c r="B253" s="145" t="s">
        <v>197</v>
      </c>
      <c r="C253" s="56"/>
      <c r="D253" s="56"/>
      <c r="E253" s="56"/>
      <c r="F253" s="56"/>
      <c r="G253" s="125"/>
      <c r="H253" s="158"/>
      <c r="I253" s="158"/>
      <c r="J253" s="127"/>
      <c r="K253" s="53"/>
      <c r="L253" s="53"/>
      <c r="M253" s="89"/>
      <c r="N253" s="89"/>
      <c r="O253" s="121"/>
      <c r="P253" s="122"/>
      <c r="Q253" s="97"/>
      <c r="R253" s="89"/>
    </row>
    <row r="254" ht="42.600000000000001" customHeight="1">
      <c r="A254" s="117"/>
      <c r="B254" s="145" t="s">
        <v>198</v>
      </c>
      <c r="C254" s="56"/>
      <c r="D254" s="56"/>
      <c r="E254" s="56"/>
      <c r="F254" s="56"/>
      <c r="G254" s="125"/>
      <c r="H254" s="158"/>
      <c r="I254" s="158"/>
      <c r="J254" s="127"/>
      <c r="K254" s="53"/>
      <c r="L254" s="53"/>
      <c r="M254" s="89"/>
      <c r="N254" s="89"/>
      <c r="O254" s="121"/>
      <c r="P254" s="122"/>
      <c r="Q254" s="97"/>
      <c r="R254" s="89"/>
    </row>
    <row r="255" ht="42.600000000000001" customHeight="1">
      <c r="A255" s="117"/>
      <c r="B255" s="145" t="s">
        <v>199</v>
      </c>
      <c r="C255" s="56"/>
      <c r="D255" s="56"/>
      <c r="E255" s="56"/>
      <c r="F255" s="56"/>
      <c r="G255" s="125"/>
      <c r="H255" s="158"/>
      <c r="I255" s="158"/>
      <c r="J255" s="127"/>
      <c r="K255" s="53"/>
      <c r="L255" s="53"/>
      <c r="M255" s="89"/>
      <c r="N255" s="89"/>
      <c r="O255" s="121"/>
      <c r="P255" s="122"/>
      <c r="Q255" s="97"/>
      <c r="R255" s="89"/>
    </row>
    <row r="256" ht="42.600000000000001" customHeight="1">
      <c r="A256" s="117"/>
      <c r="B256" s="86" t="s">
        <v>200</v>
      </c>
      <c r="C256" s="56"/>
      <c r="D256" s="56"/>
      <c r="E256" s="56"/>
      <c r="F256" s="56"/>
      <c r="G256" s="125"/>
      <c r="H256" s="158"/>
      <c r="I256" s="158"/>
      <c r="J256" s="127"/>
      <c r="K256" s="53"/>
      <c r="L256" s="53"/>
      <c r="M256" s="89"/>
      <c r="N256" s="89"/>
      <c r="O256" s="121"/>
      <c r="P256" s="122"/>
      <c r="Q256" s="97"/>
      <c r="R256" s="89"/>
    </row>
    <row r="257" ht="42.600000000000001" customHeight="1">
      <c r="A257" s="117"/>
      <c r="B257" s="86" t="s">
        <v>201</v>
      </c>
      <c r="C257" s="56"/>
      <c r="D257" s="56"/>
      <c r="E257" s="56"/>
      <c r="F257" s="56"/>
      <c r="G257" s="125"/>
      <c r="H257" s="158"/>
      <c r="I257" s="158"/>
      <c r="J257" s="127"/>
      <c r="K257" s="53"/>
      <c r="L257" s="53"/>
      <c r="M257" s="89"/>
      <c r="N257" s="89"/>
      <c r="O257" s="121"/>
      <c r="P257" s="122"/>
      <c r="Q257" s="97"/>
      <c r="R257" s="89"/>
    </row>
    <row r="258" ht="42.600000000000001" customHeight="1">
      <c r="A258" s="93"/>
      <c r="B258" s="145" t="s">
        <v>202</v>
      </c>
      <c r="C258" s="56"/>
      <c r="D258" s="56"/>
      <c r="E258" s="56"/>
      <c r="F258" s="56"/>
      <c r="G258" s="125"/>
      <c r="H258" s="158"/>
      <c r="I258" s="158"/>
      <c r="J258" s="127"/>
      <c r="K258" s="53"/>
      <c r="L258" s="53"/>
      <c r="M258" s="89"/>
      <c r="N258" s="89"/>
      <c r="O258" s="121"/>
      <c r="P258" s="122"/>
      <c r="Q258" s="97"/>
      <c r="R258" s="89"/>
    </row>
    <row r="259" ht="42.600000000000001" customHeight="1">
      <c r="A259" s="117"/>
      <c r="B259" s="145" t="s">
        <v>203</v>
      </c>
      <c r="C259" s="56"/>
      <c r="D259" s="56"/>
      <c r="E259" s="56"/>
      <c r="F259" s="56"/>
      <c r="G259" s="125"/>
      <c r="H259" s="158"/>
      <c r="I259" s="158"/>
      <c r="J259" s="127"/>
      <c r="K259" s="53"/>
      <c r="L259" s="53"/>
      <c r="M259" s="89"/>
      <c r="N259" s="89"/>
      <c r="O259" s="121"/>
      <c r="P259" s="122"/>
      <c r="Q259" s="97"/>
      <c r="R259" s="89"/>
    </row>
    <row r="260" ht="42" customHeight="1">
      <c r="A260" s="117"/>
      <c r="B260" s="145" t="s">
        <v>204</v>
      </c>
      <c r="C260" s="56"/>
      <c r="D260" s="56"/>
      <c r="E260" s="56"/>
      <c r="F260" s="56"/>
      <c r="G260" s="125"/>
      <c r="H260" s="158"/>
      <c r="I260" s="158"/>
      <c r="J260" s="127"/>
      <c r="K260" s="53"/>
      <c r="L260" s="53"/>
      <c r="M260" s="89"/>
      <c r="N260" s="89"/>
      <c r="O260" s="121"/>
      <c r="P260" s="122"/>
      <c r="Q260" s="97"/>
      <c r="R260" s="89"/>
    </row>
    <row r="261" ht="42.600000000000001" customHeight="1">
      <c r="A261" s="117"/>
      <c r="B261" s="145" t="s">
        <v>205</v>
      </c>
      <c r="C261" s="56"/>
      <c r="D261" s="56"/>
      <c r="E261" s="56"/>
      <c r="F261" s="56"/>
      <c r="G261" s="125"/>
      <c r="H261" s="158"/>
      <c r="I261" s="158"/>
      <c r="J261" s="127"/>
      <c r="K261" s="53"/>
      <c r="L261" s="53"/>
      <c r="M261" s="89"/>
      <c r="N261" s="89"/>
      <c r="O261" s="121"/>
      <c r="P261" s="122"/>
      <c r="Q261" s="97"/>
      <c r="R261" s="89"/>
    </row>
    <row r="262" ht="42.600000000000001" customHeight="1">
      <c r="A262" s="117"/>
      <c r="B262" s="145" t="s">
        <v>206</v>
      </c>
      <c r="C262" s="56"/>
      <c r="D262" s="56"/>
      <c r="E262" s="56"/>
      <c r="F262" s="56"/>
      <c r="G262" s="125"/>
      <c r="H262" s="158"/>
      <c r="I262" s="158"/>
      <c r="J262" s="127"/>
      <c r="K262" s="53"/>
      <c r="L262" s="53"/>
      <c r="M262" s="89"/>
      <c r="N262" s="89"/>
      <c r="O262" s="121"/>
      <c r="P262" s="122"/>
      <c r="Q262" s="97"/>
      <c r="R262" s="89"/>
    </row>
    <row r="263" ht="42.600000000000001" customHeight="1">
      <c r="A263" s="117"/>
      <c r="B263" s="145" t="s">
        <v>207</v>
      </c>
      <c r="C263" s="56"/>
      <c r="D263" s="56"/>
      <c r="E263" s="56"/>
      <c r="F263" s="56"/>
      <c r="G263" s="125"/>
      <c r="H263" s="158"/>
      <c r="I263" s="158"/>
      <c r="J263" s="127"/>
      <c r="K263" s="53"/>
      <c r="L263" s="53"/>
      <c r="M263" s="89"/>
      <c r="N263" s="89"/>
      <c r="O263" s="121"/>
      <c r="P263" s="122"/>
      <c r="Q263" s="97"/>
      <c r="R263" s="89"/>
    </row>
    <row r="264" ht="42.600000000000001" customHeight="1">
      <c r="A264" s="117"/>
      <c r="B264" s="145" t="s">
        <v>208</v>
      </c>
      <c r="C264" s="56"/>
      <c r="D264" s="56"/>
      <c r="E264" s="56"/>
      <c r="F264" s="56"/>
      <c r="G264" s="125"/>
      <c r="H264" s="158"/>
      <c r="I264" s="158"/>
      <c r="J264" s="127"/>
      <c r="K264" s="53"/>
      <c r="L264" s="53"/>
      <c r="M264" s="89"/>
      <c r="N264" s="89"/>
      <c r="O264" s="121"/>
      <c r="P264" s="122"/>
      <c r="Q264" s="97"/>
      <c r="R264" s="89"/>
    </row>
    <row r="265" ht="42.600000000000001" customHeight="1">
      <c r="A265" s="117"/>
      <c r="B265" s="145" t="s">
        <v>209</v>
      </c>
      <c r="C265" s="56"/>
      <c r="D265" s="56"/>
      <c r="E265" s="56"/>
      <c r="F265" s="56"/>
      <c r="G265" s="125"/>
      <c r="H265" s="158"/>
      <c r="I265" s="158"/>
      <c r="J265" s="127"/>
      <c r="K265" s="53"/>
      <c r="L265" s="53"/>
      <c r="M265" s="89"/>
      <c r="N265" s="89"/>
      <c r="O265" s="121"/>
      <c r="P265" s="122"/>
      <c r="Q265" s="97"/>
      <c r="R265" s="89"/>
    </row>
    <row r="266" ht="42.600000000000001" customHeight="1">
      <c r="A266" s="117"/>
      <c r="B266" s="145" t="s">
        <v>210</v>
      </c>
      <c r="C266" s="56"/>
      <c r="D266" s="56"/>
      <c r="E266" s="56"/>
      <c r="F266" s="56"/>
      <c r="G266" s="125"/>
      <c r="H266" s="158"/>
      <c r="I266" s="158"/>
      <c r="J266" s="127"/>
      <c r="K266" s="53"/>
      <c r="L266" s="53"/>
      <c r="M266" s="89"/>
      <c r="N266" s="89"/>
      <c r="O266" s="121"/>
      <c r="P266" s="122"/>
      <c r="Q266" s="97"/>
      <c r="R266" s="89"/>
    </row>
    <row r="267" ht="42.600000000000001" customHeight="1">
      <c r="A267" s="117"/>
      <c r="B267" s="191" t="s">
        <v>187</v>
      </c>
      <c r="C267" s="52"/>
      <c r="D267" s="56"/>
      <c r="E267" s="56"/>
      <c r="F267" s="56"/>
      <c r="G267" s="125"/>
      <c r="H267" s="158"/>
      <c r="I267" s="158"/>
      <c r="J267" s="127"/>
      <c r="K267" s="53"/>
      <c r="L267" s="53"/>
      <c r="M267" s="89" t="s">
        <v>97</v>
      </c>
      <c r="N267" s="89">
        <v>1</v>
      </c>
      <c r="O267" s="121">
        <v>591.38999999999999</v>
      </c>
      <c r="P267" s="122"/>
      <c r="Q267" s="97">
        <f>N267*O267</f>
        <v>591.38999999999999</v>
      </c>
      <c r="R267" s="100">
        <f t="shared" ref="R267:R287" si="8">Q267</f>
        <v>591.38999999999999</v>
      </c>
    </row>
    <row r="268" ht="42.600000000000001" customHeight="1">
      <c r="A268" s="117"/>
      <c r="B268" s="191" t="s">
        <v>211</v>
      </c>
      <c r="C268" s="52"/>
      <c r="D268" s="56"/>
      <c r="E268" s="56"/>
      <c r="F268" s="56"/>
      <c r="G268" s="125"/>
      <c r="H268" s="158"/>
      <c r="I268" s="158"/>
      <c r="J268" s="127"/>
      <c r="K268" s="53"/>
      <c r="L268" s="53"/>
      <c r="M268" s="89" t="s">
        <v>97</v>
      </c>
      <c r="N268" s="89">
        <v>1</v>
      </c>
      <c r="O268" s="121">
        <v>591.38999999999999</v>
      </c>
      <c r="P268" s="122"/>
      <c r="Q268" s="97">
        <f>O268*N268</f>
        <v>591.38999999999999</v>
      </c>
      <c r="R268" s="100">
        <f t="shared" si="8"/>
        <v>591.38999999999999</v>
      </c>
    </row>
    <row r="269" ht="42.600000000000001" customHeight="1">
      <c r="A269" s="117"/>
      <c r="B269" s="56"/>
      <c r="C269" s="56"/>
      <c r="D269" s="56"/>
      <c r="E269" s="56"/>
      <c r="F269" s="56"/>
      <c r="G269" s="125"/>
      <c r="H269" s="172"/>
      <c r="I269" s="172"/>
      <c r="J269" s="153"/>
      <c r="K269" s="156"/>
      <c r="L269" s="53"/>
      <c r="M269" s="89"/>
      <c r="N269" s="89"/>
      <c r="O269" s="97"/>
      <c r="P269" s="98"/>
      <c r="Q269" s="97"/>
      <c r="R269" s="89"/>
    </row>
    <row r="270" ht="42.600000000000001" customHeight="1">
      <c r="A270" s="117" t="s">
        <v>31</v>
      </c>
      <c r="B270" s="119" t="s">
        <v>212</v>
      </c>
      <c r="C270" s="56"/>
      <c r="D270" s="56"/>
      <c r="E270" s="56"/>
      <c r="F270" s="56"/>
      <c r="G270" s="125"/>
      <c r="H270" s="158"/>
      <c r="I270" s="158"/>
      <c r="J270" s="127"/>
      <c r="K270" s="53"/>
      <c r="L270" s="53"/>
      <c r="M270" s="89"/>
      <c r="N270" s="89"/>
      <c r="O270" s="121"/>
      <c r="P270" s="122"/>
      <c r="Q270" s="97"/>
      <c r="R270" s="89"/>
    </row>
    <row r="271" ht="42.600000000000001" customHeight="1">
      <c r="A271" s="117"/>
      <c r="B271" s="145" t="s">
        <v>213</v>
      </c>
      <c r="C271" s="56"/>
      <c r="D271" s="56"/>
      <c r="E271" s="56"/>
      <c r="F271" s="56"/>
      <c r="G271" s="125"/>
      <c r="H271" s="158"/>
      <c r="I271" s="158"/>
      <c r="J271" s="127"/>
      <c r="K271" s="53"/>
      <c r="L271" s="53"/>
      <c r="M271" s="89"/>
      <c r="N271" s="89"/>
      <c r="O271" s="121"/>
      <c r="P271" s="122"/>
      <c r="Q271" s="97"/>
      <c r="R271" s="89"/>
    </row>
    <row r="272" ht="42.600000000000001" customHeight="1">
      <c r="A272" s="117"/>
      <c r="B272" s="145" t="s">
        <v>214</v>
      </c>
      <c r="C272" s="56"/>
      <c r="D272" s="56"/>
      <c r="E272" s="56"/>
      <c r="F272" s="56"/>
      <c r="G272" s="125"/>
      <c r="H272" s="158"/>
      <c r="I272" s="158"/>
      <c r="J272" s="127"/>
      <c r="K272" s="53"/>
      <c r="L272" s="53"/>
      <c r="M272" s="89"/>
      <c r="N272" s="89"/>
      <c r="O272" s="121"/>
      <c r="P272" s="122"/>
      <c r="Q272" s="97"/>
      <c r="R272" s="89"/>
    </row>
    <row r="273" ht="42.600000000000001" customHeight="1">
      <c r="A273" s="117"/>
      <c r="B273" s="145" t="s">
        <v>215</v>
      </c>
      <c r="C273" s="56"/>
      <c r="D273" s="56"/>
      <c r="E273" s="56"/>
      <c r="F273" s="56"/>
      <c r="G273" s="125"/>
      <c r="H273" s="158"/>
      <c r="I273" s="158"/>
      <c r="J273" s="127"/>
      <c r="K273" s="53"/>
      <c r="L273" s="53"/>
      <c r="M273" s="89"/>
      <c r="N273" s="89"/>
      <c r="O273" s="97"/>
      <c r="P273" s="98"/>
      <c r="Q273" s="97"/>
      <c r="R273" s="89"/>
    </row>
    <row r="274" ht="42.600000000000001" customHeight="1">
      <c r="A274" s="117"/>
      <c r="B274" s="145" t="s">
        <v>216</v>
      </c>
      <c r="C274" s="56"/>
      <c r="D274" s="56"/>
      <c r="E274" s="56"/>
      <c r="F274" s="56"/>
      <c r="G274" s="125"/>
      <c r="H274" s="158"/>
      <c r="I274" s="158"/>
      <c r="J274" s="127"/>
      <c r="K274" s="53"/>
      <c r="L274" s="53"/>
      <c r="M274" s="89"/>
      <c r="N274" s="89"/>
      <c r="O274" s="97"/>
      <c r="P274" s="98"/>
      <c r="Q274" s="97"/>
      <c r="R274" s="89"/>
    </row>
    <row r="275" ht="42.600000000000001" customHeight="1">
      <c r="A275" s="117"/>
      <c r="B275" s="145" t="s">
        <v>217</v>
      </c>
      <c r="C275" s="56"/>
      <c r="D275" s="56"/>
      <c r="E275" s="56"/>
      <c r="F275" s="56"/>
      <c r="G275" s="125"/>
      <c r="H275" s="158"/>
      <c r="I275" s="158"/>
      <c r="J275" s="127"/>
      <c r="K275" s="53"/>
      <c r="L275" s="53"/>
      <c r="M275" s="89"/>
      <c r="N275" s="89"/>
      <c r="O275" s="121"/>
      <c r="P275" s="122"/>
      <c r="Q275" s="97"/>
      <c r="R275" s="89"/>
    </row>
    <row r="276" ht="42.600000000000001" customHeight="1">
      <c r="A276" s="117"/>
      <c r="B276" s="86" t="s">
        <v>218</v>
      </c>
      <c r="C276" s="56"/>
      <c r="D276" s="56"/>
      <c r="E276" s="56"/>
      <c r="F276" s="56"/>
      <c r="G276" s="125"/>
      <c r="H276" s="158"/>
      <c r="I276" s="158"/>
      <c r="J276" s="127"/>
      <c r="K276" s="53"/>
      <c r="L276" s="53"/>
      <c r="M276" s="89"/>
      <c r="N276" s="89"/>
      <c r="O276" s="121"/>
      <c r="P276" s="122"/>
      <c r="Q276" s="97"/>
      <c r="R276" s="89"/>
    </row>
    <row r="277" ht="42.600000000000001" customHeight="1">
      <c r="A277" s="117"/>
      <c r="B277" s="86" t="s">
        <v>200</v>
      </c>
      <c r="C277" s="56"/>
      <c r="D277" s="56"/>
      <c r="E277" s="56"/>
      <c r="F277" s="56"/>
      <c r="G277" s="125"/>
      <c r="H277" s="158"/>
      <c r="I277" s="158"/>
      <c r="J277" s="127"/>
      <c r="K277" s="53"/>
      <c r="L277" s="53"/>
      <c r="M277" s="89"/>
      <c r="N277" s="89"/>
      <c r="O277" s="121"/>
      <c r="P277" s="122"/>
      <c r="Q277" s="97"/>
      <c r="R277" s="89"/>
    </row>
    <row r="278" ht="42.600000000000001" customHeight="1">
      <c r="A278" s="117"/>
      <c r="B278" s="86" t="s">
        <v>201</v>
      </c>
      <c r="C278" s="56"/>
      <c r="D278" s="56"/>
      <c r="E278" s="56"/>
      <c r="F278" s="56"/>
      <c r="G278" s="125"/>
      <c r="H278" s="158"/>
      <c r="I278" s="158"/>
      <c r="J278" s="127"/>
      <c r="K278" s="53"/>
      <c r="L278" s="53"/>
      <c r="M278" s="89"/>
      <c r="N278" s="89"/>
      <c r="O278" s="121"/>
      <c r="P278" s="122"/>
      <c r="Q278" s="97"/>
      <c r="R278" s="89"/>
    </row>
    <row r="279" ht="42.600000000000001" customHeight="1">
      <c r="A279" s="117"/>
      <c r="B279" s="145" t="s">
        <v>219</v>
      </c>
      <c r="C279" s="56"/>
      <c r="D279" s="56"/>
      <c r="E279" s="56"/>
      <c r="F279" s="56"/>
      <c r="G279" s="125"/>
      <c r="H279" s="158"/>
      <c r="I279" s="158"/>
      <c r="J279" s="127"/>
      <c r="K279" s="53"/>
      <c r="L279" s="53"/>
      <c r="M279" s="89"/>
      <c r="N279" s="89"/>
      <c r="O279" s="121"/>
      <c r="P279" s="122"/>
      <c r="Q279" s="97"/>
      <c r="R279" s="89"/>
    </row>
    <row r="280" ht="42.600000000000001" customHeight="1">
      <c r="A280" s="117"/>
      <c r="B280" s="145" t="s">
        <v>220</v>
      </c>
      <c r="C280" s="56"/>
      <c r="D280" s="56"/>
      <c r="E280" s="56"/>
      <c r="F280" s="56"/>
      <c r="G280" s="125"/>
      <c r="H280" s="158"/>
      <c r="I280" s="158"/>
      <c r="J280" s="127"/>
      <c r="K280" s="53"/>
      <c r="L280" s="53"/>
      <c r="M280" s="89"/>
      <c r="N280" s="89"/>
      <c r="O280" s="121"/>
      <c r="P280" s="122"/>
      <c r="Q280" s="97"/>
      <c r="R280" s="89"/>
    </row>
    <row r="281" ht="42.600000000000001" customHeight="1">
      <c r="A281" s="117"/>
      <c r="B281" s="145" t="s">
        <v>221</v>
      </c>
      <c r="C281" s="56"/>
      <c r="D281" s="56"/>
      <c r="E281" s="56"/>
      <c r="F281" s="56"/>
      <c r="G281" s="125"/>
      <c r="H281" s="158"/>
      <c r="I281" s="158"/>
      <c r="J281" s="127"/>
      <c r="K281" s="53"/>
      <c r="L281" s="53"/>
      <c r="M281" s="89"/>
      <c r="N281" s="89"/>
      <c r="O281" s="121"/>
      <c r="P281" s="122"/>
      <c r="Q281" s="97"/>
      <c r="R281" s="89"/>
    </row>
    <row r="282" ht="42.600000000000001" customHeight="1">
      <c r="A282" s="117"/>
      <c r="B282" s="145" t="s">
        <v>222</v>
      </c>
      <c r="C282" s="56"/>
      <c r="D282" s="56"/>
      <c r="E282" s="56"/>
      <c r="F282" s="56"/>
      <c r="G282" s="125"/>
      <c r="H282" s="158"/>
      <c r="I282" s="158"/>
      <c r="J282" s="127"/>
      <c r="K282" s="53"/>
      <c r="L282" s="53"/>
      <c r="M282" s="89"/>
      <c r="N282" s="89"/>
      <c r="O282" s="121"/>
      <c r="P282" s="122"/>
      <c r="Q282" s="97"/>
      <c r="R282" s="89"/>
    </row>
    <row r="283" ht="42.600000000000001" customHeight="1">
      <c r="A283" s="117"/>
      <c r="B283" s="145" t="s">
        <v>223</v>
      </c>
      <c r="C283" s="56"/>
      <c r="D283" s="56"/>
      <c r="E283" s="56"/>
      <c r="F283" s="56"/>
      <c r="G283" s="125"/>
      <c r="H283" s="158"/>
      <c r="I283" s="158"/>
      <c r="J283" s="127"/>
      <c r="K283" s="53"/>
      <c r="L283" s="53"/>
      <c r="M283" s="89"/>
      <c r="N283" s="89"/>
      <c r="O283" s="121"/>
      <c r="P283" s="122"/>
      <c r="Q283" s="97"/>
      <c r="R283" s="89"/>
    </row>
    <row r="284" ht="42.600000000000001" customHeight="1">
      <c r="A284" s="117"/>
      <c r="B284" s="145" t="s">
        <v>224</v>
      </c>
      <c r="C284" s="56"/>
      <c r="D284" s="56"/>
      <c r="E284" s="56"/>
      <c r="F284" s="56"/>
      <c r="G284" s="125"/>
      <c r="H284" s="158"/>
      <c r="I284" s="158"/>
      <c r="J284" s="127"/>
      <c r="K284" s="53"/>
      <c r="L284" s="53"/>
      <c r="M284" s="89" t="s">
        <v>97</v>
      </c>
      <c r="N284" s="89">
        <v>1</v>
      </c>
      <c r="O284" s="121">
        <v>489.24000000000001</v>
      </c>
      <c r="P284" s="122"/>
      <c r="Q284" s="97">
        <f>O284*N284</f>
        <v>489.24000000000001</v>
      </c>
      <c r="R284" s="100">
        <f t="shared" si="8"/>
        <v>489.24000000000001</v>
      </c>
    </row>
    <row r="285" ht="42.600000000000001" customHeight="1">
      <c r="A285" s="117"/>
      <c r="B285" s="56"/>
      <c r="C285" s="56"/>
      <c r="D285" s="56"/>
      <c r="E285" s="56"/>
      <c r="F285" s="56"/>
      <c r="G285" s="125"/>
      <c r="H285" s="158"/>
      <c r="I285" s="158"/>
      <c r="J285" s="127"/>
      <c r="K285" s="53"/>
      <c r="L285" s="53"/>
      <c r="M285" s="89"/>
      <c r="N285" s="89"/>
      <c r="O285" s="121"/>
      <c r="P285" s="122"/>
      <c r="Q285" s="97"/>
      <c r="R285" s="89"/>
    </row>
    <row r="286" ht="42.600000000000001" customHeight="1">
      <c r="A286" s="117" t="s">
        <v>39</v>
      </c>
      <c r="B286" s="164" t="s">
        <v>225</v>
      </c>
      <c r="C286" s="56"/>
      <c r="D286" s="56"/>
      <c r="E286" s="56"/>
      <c r="F286" s="56"/>
      <c r="G286" s="125"/>
      <c r="H286" s="158"/>
      <c r="I286" s="158"/>
      <c r="J286" s="127"/>
      <c r="K286" s="53"/>
      <c r="L286" s="53"/>
      <c r="M286" s="89"/>
      <c r="N286" s="89"/>
      <c r="O286" s="121"/>
      <c r="P286" s="122"/>
      <c r="Q286" s="97"/>
      <c r="R286" s="89"/>
    </row>
    <row r="287" ht="42.600000000000001" customHeight="1">
      <c r="A287" s="117"/>
      <c r="B287" s="86" t="s">
        <v>226</v>
      </c>
      <c r="C287" s="56"/>
      <c r="D287" s="56"/>
      <c r="E287" s="56"/>
      <c r="F287" s="56"/>
      <c r="G287" s="125"/>
      <c r="H287" s="158"/>
      <c r="I287" s="158"/>
      <c r="J287" s="127"/>
      <c r="K287" s="53"/>
      <c r="L287" s="53"/>
      <c r="M287" s="89" t="s">
        <v>97</v>
      </c>
      <c r="N287" s="89">
        <v>1</v>
      </c>
      <c r="O287" s="121">
        <v>450.5</v>
      </c>
      <c r="P287" s="122"/>
      <c r="Q287" s="97">
        <f>O287*N287</f>
        <v>450.5</v>
      </c>
      <c r="R287" s="100">
        <f t="shared" si="8"/>
        <v>450.5</v>
      </c>
    </row>
    <row r="288" ht="42.600000000000001" customHeight="1">
      <c r="A288" s="117"/>
      <c r="B288" s="56"/>
      <c r="C288" s="56"/>
      <c r="D288" s="56"/>
      <c r="E288" s="56"/>
      <c r="F288" s="56"/>
      <c r="G288" s="125"/>
      <c r="H288" s="158"/>
      <c r="I288" s="158"/>
      <c r="J288" s="127"/>
      <c r="K288" s="53"/>
      <c r="L288" s="53"/>
      <c r="M288" s="89"/>
      <c r="N288" s="89"/>
      <c r="O288" s="121"/>
      <c r="P288" s="122"/>
      <c r="Q288" s="97"/>
      <c r="R288" s="89"/>
    </row>
    <row r="289" ht="42.600000000000001" customHeight="1">
      <c r="A289" s="117"/>
      <c r="B289" s="56"/>
      <c r="C289" s="56"/>
      <c r="D289" s="56"/>
      <c r="E289" s="56"/>
      <c r="F289" s="56"/>
      <c r="G289" s="125"/>
      <c r="H289" s="158"/>
      <c r="I289" s="158"/>
      <c r="J289" s="127"/>
      <c r="K289" s="53"/>
      <c r="L289" s="53"/>
      <c r="M289" s="89"/>
      <c r="N289" s="89"/>
      <c r="O289" s="121"/>
      <c r="P289" s="122"/>
      <c r="Q289" s="97"/>
      <c r="R289" s="89"/>
    </row>
    <row r="290" ht="42.600000000000001" customHeight="1">
      <c r="A290" s="117"/>
      <c r="B290" s="56"/>
      <c r="C290" s="56"/>
      <c r="D290" s="56"/>
      <c r="E290" s="56"/>
      <c r="F290" s="56"/>
      <c r="G290" s="125"/>
      <c r="H290" s="158"/>
      <c r="I290" s="158"/>
      <c r="J290" s="127"/>
      <c r="K290" s="53"/>
      <c r="L290" s="53"/>
      <c r="M290" s="89"/>
      <c r="N290" s="89"/>
      <c r="O290" s="121"/>
      <c r="P290" s="122"/>
      <c r="Q290" s="97"/>
      <c r="R290" s="89"/>
    </row>
    <row r="291" ht="42.600000000000001" customHeight="1">
      <c r="A291" s="117"/>
      <c r="B291" s="56"/>
      <c r="C291" s="56"/>
      <c r="D291" s="56"/>
      <c r="E291" s="56"/>
      <c r="F291" s="56"/>
      <c r="G291" s="125"/>
      <c r="H291" s="158"/>
      <c r="I291" s="158"/>
      <c r="J291" s="127"/>
      <c r="K291" s="53"/>
      <c r="L291" s="53"/>
      <c r="M291" s="89"/>
      <c r="N291" s="89"/>
      <c r="O291" s="121"/>
      <c r="P291" s="122"/>
      <c r="Q291" s="97"/>
      <c r="R291" s="89"/>
    </row>
    <row r="292" ht="42.600000000000001" customHeight="1">
      <c r="A292" s="117"/>
      <c r="B292" s="56"/>
      <c r="C292" s="56"/>
      <c r="D292" s="56"/>
      <c r="E292" s="56"/>
      <c r="F292" s="56"/>
      <c r="G292" s="125"/>
      <c r="H292" s="158"/>
      <c r="I292" s="158"/>
      <c r="J292" s="127"/>
      <c r="K292" s="53"/>
      <c r="L292" s="53"/>
      <c r="M292" s="89"/>
      <c r="N292" s="89"/>
      <c r="O292" s="121"/>
      <c r="P292" s="122"/>
      <c r="Q292" s="97"/>
      <c r="R292" s="89"/>
    </row>
    <row r="293" ht="42.600000000000001" customHeight="1">
      <c r="A293" s="66" t="s">
        <v>42</v>
      </c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8"/>
      <c r="Q293" s="105">
        <f>SUM(Q241:Q292)</f>
        <v>2122.52</v>
      </c>
      <c r="R293" s="106">
        <f>SUM(R243:R291)</f>
        <v>2122.52</v>
      </c>
    </row>
    <row r="294" ht="42.600000000000001" customHeight="1">
      <c r="A294" s="192"/>
      <c r="B294" s="193"/>
      <c r="C294" s="194"/>
      <c r="D294" s="194"/>
      <c r="E294" s="194"/>
      <c r="F294" s="194"/>
      <c r="G294" s="194"/>
      <c r="H294" s="195"/>
      <c r="I294" s="195"/>
      <c r="J294" s="194"/>
      <c r="K294" s="114"/>
      <c r="L294" s="114"/>
      <c r="M294" s="80"/>
      <c r="N294" s="80"/>
      <c r="O294" s="81"/>
      <c r="P294" s="82"/>
      <c r="Q294" s="196"/>
      <c r="R294" s="197"/>
    </row>
    <row r="295" ht="42.600000000000001" customHeight="1">
      <c r="A295" s="198"/>
      <c r="B295" s="199" t="s">
        <v>14</v>
      </c>
      <c r="C295" s="52"/>
      <c r="D295" s="54"/>
      <c r="E295" s="52"/>
      <c r="F295" s="52"/>
      <c r="G295" s="52"/>
      <c r="H295" s="52"/>
      <c r="I295" s="52"/>
      <c r="J295" s="52"/>
      <c r="K295" s="85"/>
      <c r="L295" s="115"/>
      <c r="M295" s="86"/>
      <c r="N295" s="86"/>
      <c r="O295" s="87"/>
      <c r="P295" s="88"/>
      <c r="Q295" s="200">
        <f>Q59</f>
        <v>2040</v>
      </c>
      <c r="R295" s="201">
        <f>R59</f>
        <v>2040</v>
      </c>
    </row>
    <row r="296" ht="42.600000000000001" customHeight="1">
      <c r="A296" s="198"/>
      <c r="B296" s="202"/>
      <c r="C296" s="52"/>
      <c r="D296" s="54"/>
      <c r="E296" s="52"/>
      <c r="F296" s="52"/>
      <c r="G296" s="52"/>
      <c r="H296" s="53"/>
      <c r="I296" s="53"/>
      <c r="J296" s="52"/>
      <c r="K296" s="53"/>
      <c r="L296" s="53"/>
      <c r="M296" s="86"/>
      <c r="N296" s="86"/>
      <c r="O296" s="87"/>
      <c r="P296" s="88"/>
      <c r="Q296" s="203"/>
      <c r="R296" s="204"/>
    </row>
    <row r="297" ht="42.600000000000001" customHeight="1">
      <c r="A297" s="205"/>
      <c r="B297" s="206" t="s">
        <v>43</v>
      </c>
      <c r="C297" s="207"/>
      <c r="D297" s="207"/>
      <c r="E297" s="207"/>
      <c r="F297" s="207"/>
      <c r="G297" s="207"/>
      <c r="H297" s="207"/>
      <c r="I297" s="207"/>
      <c r="J297" s="207"/>
      <c r="K297" s="53"/>
      <c r="L297" s="53"/>
      <c r="M297" s="86"/>
      <c r="N297" s="86"/>
      <c r="O297" s="121"/>
      <c r="P297" s="122"/>
      <c r="Q297" s="203"/>
      <c r="R297" s="204"/>
    </row>
    <row r="298" ht="42.600000000000001" customHeight="1">
      <c r="A298" s="208"/>
      <c r="B298" s="209" t="s">
        <v>138</v>
      </c>
      <c r="C298" s="85"/>
      <c r="D298" s="85"/>
      <c r="E298" s="85"/>
      <c r="F298" s="85"/>
      <c r="G298" s="85"/>
      <c r="H298" s="85"/>
      <c r="I298" s="85"/>
      <c r="J298" s="85"/>
      <c r="K298" s="85"/>
      <c r="L298" s="115"/>
      <c r="M298" s="86"/>
      <c r="N298" s="86"/>
      <c r="O298" s="121"/>
      <c r="P298" s="122"/>
      <c r="Q298" s="200">
        <f>Q119</f>
        <v>8538</v>
      </c>
      <c r="R298" s="204">
        <f>R119</f>
        <v>8442.2999999999993</v>
      </c>
    </row>
    <row r="299" ht="42.600000000000001" customHeight="1">
      <c r="A299" s="208"/>
      <c r="B299" s="209"/>
      <c r="C299" s="85"/>
      <c r="D299" s="85"/>
      <c r="E299" s="85"/>
      <c r="F299" s="85"/>
      <c r="G299" s="85"/>
      <c r="H299" s="85"/>
      <c r="I299" s="85"/>
      <c r="J299" s="85"/>
      <c r="K299" s="85"/>
      <c r="L299" s="115"/>
      <c r="M299" s="86"/>
      <c r="N299" s="86"/>
      <c r="O299" s="121"/>
      <c r="P299" s="122"/>
      <c r="Q299" s="200"/>
      <c r="R299" s="204"/>
    </row>
    <row r="300" ht="42.600000000000001" customHeight="1">
      <c r="A300" s="208"/>
      <c r="B300" s="206" t="s">
        <v>89</v>
      </c>
      <c r="C300" s="207"/>
      <c r="D300" s="207"/>
      <c r="E300" s="207"/>
      <c r="F300" s="207"/>
      <c r="G300" s="207"/>
      <c r="H300" s="207"/>
      <c r="I300" s="207"/>
      <c r="J300" s="207"/>
      <c r="K300" s="85"/>
      <c r="L300" s="115"/>
      <c r="M300" s="86"/>
      <c r="N300" s="86"/>
      <c r="O300" s="121"/>
      <c r="P300" s="122"/>
      <c r="Q300" s="200"/>
      <c r="R300" s="204"/>
    </row>
    <row r="301" ht="42.600000000000001" customHeight="1">
      <c r="A301" s="208"/>
      <c r="B301" s="209" t="s">
        <v>138</v>
      </c>
      <c r="C301" s="85"/>
      <c r="D301" s="85"/>
      <c r="E301" s="85"/>
      <c r="F301" s="85"/>
      <c r="G301" s="85"/>
      <c r="H301" s="85"/>
      <c r="I301" s="85"/>
      <c r="J301" s="85"/>
      <c r="K301" s="85"/>
      <c r="L301" s="115"/>
      <c r="M301" s="86"/>
      <c r="N301" s="86"/>
      <c r="O301" s="121"/>
      <c r="P301" s="122"/>
      <c r="Q301" s="200">
        <f>Q179</f>
        <v>6867.1199999999999</v>
      </c>
      <c r="R301" s="201">
        <f>R179</f>
        <v>7017.96</v>
      </c>
    </row>
    <row r="302" ht="42.600000000000001" customHeight="1">
      <c r="A302" s="208"/>
      <c r="B302" s="209"/>
      <c r="C302" s="85"/>
      <c r="D302" s="85"/>
      <c r="E302" s="85"/>
      <c r="F302" s="85"/>
      <c r="G302" s="85"/>
      <c r="H302" s="85"/>
      <c r="I302" s="85"/>
      <c r="J302" s="85"/>
      <c r="K302" s="85"/>
      <c r="L302" s="115"/>
      <c r="M302" s="86"/>
      <c r="N302" s="86"/>
      <c r="O302" s="121"/>
      <c r="P302" s="122"/>
      <c r="Q302" s="200"/>
      <c r="R302" s="204"/>
    </row>
    <row r="303" ht="42.600000000000001" customHeight="1">
      <c r="A303" s="208"/>
      <c r="B303" s="206" t="s">
        <v>177</v>
      </c>
      <c r="C303" s="207"/>
      <c r="D303" s="207"/>
      <c r="E303" s="207"/>
      <c r="F303" s="207"/>
      <c r="G303" s="207"/>
      <c r="H303" s="207"/>
      <c r="I303" s="207"/>
      <c r="J303" s="207"/>
      <c r="K303" s="85"/>
      <c r="L303" s="115"/>
      <c r="M303" s="86"/>
      <c r="N303" s="86"/>
      <c r="O303" s="121"/>
      <c r="P303" s="122"/>
      <c r="Q303" s="200"/>
      <c r="R303" s="204"/>
    </row>
    <row r="304" ht="42.600000000000001" customHeight="1">
      <c r="A304" s="208"/>
      <c r="B304" s="209" t="s">
        <v>138</v>
      </c>
      <c r="C304" s="85"/>
      <c r="D304" s="85"/>
      <c r="E304" s="85"/>
      <c r="F304" s="85"/>
      <c r="G304" s="85"/>
      <c r="H304" s="85"/>
      <c r="I304" s="85"/>
      <c r="J304" s="85"/>
      <c r="K304" s="85"/>
      <c r="L304" s="115"/>
      <c r="M304" s="86"/>
      <c r="N304" s="86"/>
      <c r="O304" s="121"/>
      <c r="P304" s="122"/>
      <c r="Q304" s="200">
        <f>Q239</f>
        <v>6364.4539999999997</v>
      </c>
      <c r="R304" s="201">
        <f>R239</f>
        <v>6576.0339999999997</v>
      </c>
    </row>
    <row r="305" ht="42.600000000000001" customHeight="1">
      <c r="A305" s="208"/>
      <c r="B305" s="209"/>
      <c r="C305" s="85"/>
      <c r="D305" s="85"/>
      <c r="E305" s="85"/>
      <c r="F305" s="85"/>
      <c r="G305" s="85"/>
      <c r="H305" s="85"/>
      <c r="I305" s="85"/>
      <c r="J305" s="85"/>
      <c r="K305" s="85"/>
      <c r="L305" s="115"/>
      <c r="M305" s="86"/>
      <c r="N305" s="86"/>
      <c r="O305" s="121"/>
      <c r="P305" s="122"/>
      <c r="Q305" s="200"/>
      <c r="R305" s="204"/>
    </row>
    <row r="306" ht="42.600000000000001" customHeight="1">
      <c r="A306" s="208"/>
      <c r="B306" s="206" t="s">
        <v>186</v>
      </c>
      <c r="C306" s="207"/>
      <c r="D306" s="207"/>
      <c r="E306" s="207"/>
      <c r="F306" s="207"/>
      <c r="G306" s="207"/>
      <c r="H306" s="207"/>
      <c r="I306" s="207"/>
      <c r="J306" s="207"/>
      <c r="K306" s="85"/>
      <c r="L306" s="115"/>
      <c r="M306" s="86"/>
      <c r="N306" s="86"/>
      <c r="O306" s="121"/>
      <c r="P306" s="122"/>
      <c r="Q306" s="200"/>
      <c r="R306" s="204"/>
    </row>
    <row r="307" ht="42.600000000000001" customHeight="1">
      <c r="A307" s="208"/>
      <c r="B307" s="209" t="s">
        <v>187</v>
      </c>
      <c r="C307" s="85"/>
      <c r="D307" s="85"/>
      <c r="E307" s="85"/>
      <c r="F307" s="85"/>
      <c r="G307" s="85"/>
      <c r="H307" s="85"/>
      <c r="I307" s="85"/>
      <c r="J307" s="85"/>
      <c r="K307" s="85"/>
      <c r="L307" s="115"/>
      <c r="M307" s="86"/>
      <c r="N307" s="86"/>
      <c r="O307" s="121"/>
      <c r="P307" s="122"/>
      <c r="Q307" s="200">
        <f>Q293</f>
        <v>2122.52</v>
      </c>
      <c r="R307" s="201">
        <f>R293</f>
        <v>2122.52</v>
      </c>
    </row>
    <row r="308" ht="42.600000000000001" customHeight="1">
      <c r="A308" s="208"/>
      <c r="B308" s="209"/>
      <c r="C308" s="85"/>
      <c r="D308" s="85"/>
      <c r="E308" s="85"/>
      <c r="F308" s="85"/>
      <c r="G308" s="85"/>
      <c r="H308" s="85"/>
      <c r="I308" s="85"/>
      <c r="J308" s="85"/>
      <c r="K308" s="85"/>
      <c r="L308" s="115"/>
      <c r="M308" s="86"/>
      <c r="N308" s="86"/>
      <c r="O308" s="121"/>
      <c r="P308" s="122"/>
      <c r="Q308" s="200"/>
      <c r="R308" s="210"/>
    </row>
    <row r="309" ht="42.600000000000001" customHeight="1">
      <c r="A309" s="208"/>
      <c r="B309" s="211" t="s">
        <v>42</v>
      </c>
      <c r="C309" s="212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3"/>
      <c r="Q309" s="214">
        <f>SUM(Q295:Q308)</f>
        <v>25932.094000000001</v>
      </c>
      <c r="R309" s="215">
        <f>SUM(R295:R308)</f>
        <v>26198.813999999998</v>
      </c>
    </row>
    <row r="310" ht="42.600000000000001" customHeight="1">
      <c r="A310" s="208"/>
      <c r="B310" s="56"/>
      <c r="C310" s="52"/>
      <c r="D310" s="56"/>
      <c r="E310" s="216"/>
      <c r="F310" s="217"/>
      <c r="G310" s="218"/>
      <c r="H310" s="219"/>
      <c r="I310" s="219"/>
      <c r="J310" s="220" t="s">
        <v>227</v>
      </c>
      <c r="K310" s="221">
        <f>R309-Q309</f>
        <v>266.71999999999753</v>
      </c>
      <c r="L310" s="222"/>
      <c r="M310" s="217"/>
      <c r="N310" s="223"/>
      <c r="O310" s="224"/>
      <c r="P310" s="224"/>
      <c r="Q310" s="225"/>
      <c r="R310" s="56"/>
    </row>
    <row r="311" ht="42.600000000000001" customHeight="1">
      <c r="A311" s="208"/>
      <c r="B311" s="226"/>
      <c r="C311" s="227"/>
      <c r="D311" s="227"/>
      <c r="E311" s="227"/>
      <c r="F311" s="227"/>
      <c r="G311" s="227"/>
      <c r="H311" s="219"/>
      <c r="I311" s="219"/>
      <c r="J311" s="227"/>
      <c r="K311" s="228"/>
      <c r="L311" s="228"/>
      <c r="M311" s="216"/>
      <c r="N311" s="217"/>
      <c r="O311" s="229"/>
      <c r="P311" s="229"/>
      <c r="Q311" s="52"/>
      <c r="R311" s="56"/>
    </row>
    <row r="312" ht="42.600000000000001" customHeight="1">
      <c r="A312" s="208"/>
      <c r="B312" s="226"/>
      <c r="C312" s="227"/>
      <c r="D312" s="227"/>
      <c r="E312" s="230"/>
      <c r="F312" s="230"/>
      <c r="G312" s="230"/>
      <c r="H312" s="219"/>
      <c r="I312" s="219"/>
      <c r="J312" s="231" t="s">
        <v>228</v>
      </c>
      <c r="K312" s="228"/>
      <c r="L312" s="232">
        <f>R309</f>
        <v>26198.813999999998</v>
      </c>
      <c r="M312" s="233"/>
      <c r="N312" s="234"/>
      <c r="O312" s="229"/>
      <c r="P312" s="229"/>
      <c r="Q312" s="52"/>
      <c r="R312" s="56"/>
    </row>
    <row r="313" ht="42.600000000000001" customHeight="1">
      <c r="A313" s="208"/>
      <c r="B313" s="226"/>
      <c r="C313" s="227"/>
      <c r="D313" s="227"/>
      <c r="E313" s="230"/>
      <c r="F313" s="230"/>
      <c r="G313" s="230"/>
      <c r="H313" s="219"/>
      <c r="I313" s="219"/>
      <c r="J313" s="235" t="s">
        <v>229</v>
      </c>
      <c r="K313" s="228"/>
      <c r="L313" s="232">
        <f>Q309</f>
        <v>25932.094000000001</v>
      </c>
      <c r="M313" s="233"/>
      <c r="N313" s="234"/>
      <c r="O313" s="229"/>
      <c r="P313" s="229"/>
      <c r="Q313" s="52"/>
      <c r="R313" s="56"/>
    </row>
    <row r="314" ht="42.600000000000001" customHeight="1">
      <c r="A314" s="208"/>
      <c r="B314" s="226"/>
      <c r="C314" s="227"/>
      <c r="D314" s="227"/>
      <c r="E314" s="230"/>
      <c r="F314" s="230"/>
      <c r="G314" s="230"/>
      <c r="H314" s="219"/>
      <c r="I314" s="219"/>
      <c r="J314" s="230"/>
      <c r="K314" s="228"/>
      <c r="L314" s="228"/>
      <c r="M314" s="217"/>
      <c r="N314" s="217"/>
      <c r="O314" s="229"/>
      <c r="P314" s="229"/>
      <c r="Q314" s="52"/>
      <c r="R314" s="56"/>
    </row>
    <row r="315" ht="42.600000000000001" customHeight="1">
      <c r="A315" s="208"/>
      <c r="B315" s="226"/>
      <c r="C315" s="227"/>
      <c r="D315" s="227"/>
      <c r="E315" s="236" t="s">
        <v>230</v>
      </c>
      <c r="F315" s="237"/>
      <c r="G315" s="237"/>
      <c r="H315" s="237"/>
      <c r="I315" s="238"/>
      <c r="J315" s="239">
        <f>Q309</f>
        <v>25932.094000000001</v>
      </c>
      <c r="K315" s="228"/>
      <c r="L315" s="228"/>
      <c r="M315" s="217"/>
      <c r="N315" s="217"/>
      <c r="O315" s="229"/>
      <c r="P315" s="229"/>
      <c r="Q315" s="52"/>
      <c r="R315" s="56"/>
    </row>
    <row r="316" ht="42.600000000000001" customHeight="1">
      <c r="A316" s="208"/>
      <c r="B316" s="226"/>
      <c r="C316" s="227"/>
      <c r="D316" s="227"/>
      <c r="E316" s="236" t="s">
        <v>231</v>
      </c>
      <c r="F316" s="237"/>
      <c r="G316" s="237"/>
      <c r="H316" s="237"/>
      <c r="I316" s="238"/>
      <c r="J316" s="240"/>
      <c r="K316" s="228"/>
      <c r="L316" s="228"/>
      <c r="M316" s="217"/>
      <c r="N316" s="217"/>
      <c r="O316" s="229"/>
      <c r="P316" s="229"/>
      <c r="Q316" s="52"/>
      <c r="R316" s="56"/>
    </row>
    <row r="317" ht="42.600000000000001" customHeight="1">
      <c r="A317" s="208"/>
      <c r="B317" s="226"/>
      <c r="C317" s="227"/>
      <c r="D317" s="227"/>
      <c r="E317" s="236" t="s">
        <v>232</v>
      </c>
      <c r="F317" s="237"/>
      <c r="G317" s="237"/>
      <c r="H317" s="237"/>
      <c r="I317" s="238"/>
      <c r="J317" s="241" t="s">
        <v>154</v>
      </c>
      <c r="K317" s="242"/>
      <c r="L317" s="242"/>
      <c r="M317" s="242"/>
      <c r="N317" s="242"/>
      <c r="O317" s="229"/>
      <c r="P317" s="229"/>
      <c r="Q317" s="52"/>
      <c r="R317" s="56"/>
    </row>
    <row r="318" ht="42.600000000000001" customHeight="1">
      <c r="A318" s="208"/>
      <c r="B318" s="226"/>
      <c r="C318" s="230"/>
      <c r="D318" s="230"/>
      <c r="E318" s="236" t="s">
        <v>233</v>
      </c>
      <c r="F318" s="237"/>
      <c r="G318" s="237"/>
      <c r="H318" s="237"/>
      <c r="I318" s="238"/>
      <c r="J318" s="243" t="s">
        <v>154</v>
      </c>
      <c r="K318" s="242"/>
      <c r="L318" s="242"/>
      <c r="M318" s="242"/>
      <c r="N318" s="242"/>
      <c r="O318" s="229"/>
      <c r="P318" s="229"/>
      <c r="Q318" s="52"/>
      <c r="R318" s="56"/>
    </row>
    <row r="319" ht="42.600000000000001" customHeight="1">
      <c r="A319" s="208"/>
      <c r="B319" s="226"/>
      <c r="C319" s="242"/>
      <c r="D319" s="242"/>
      <c r="E319" s="236" t="s">
        <v>234</v>
      </c>
      <c r="F319" s="237"/>
      <c r="G319" s="237"/>
      <c r="H319" s="237"/>
      <c r="I319" s="238"/>
      <c r="J319" s="241" t="s">
        <v>154</v>
      </c>
      <c r="K319" s="242"/>
      <c r="L319" s="242"/>
      <c r="M319" s="242"/>
      <c r="N319" s="242"/>
      <c r="O319" s="229"/>
      <c r="P319" s="229"/>
      <c r="Q319" s="52"/>
      <c r="R319" s="56"/>
    </row>
    <row r="320" ht="42.600000000000001" customHeight="1">
      <c r="A320" s="208"/>
      <c r="B320" s="226"/>
      <c r="C320" s="242"/>
      <c r="D320" s="242"/>
      <c r="E320" s="236" t="s">
        <v>235</v>
      </c>
      <c r="F320" s="237"/>
      <c r="G320" s="237"/>
      <c r="H320" s="237"/>
      <c r="I320" s="238"/>
      <c r="J320" s="244">
        <f>J315</f>
        <v>25932.094000000001</v>
      </c>
      <c r="K320" s="228"/>
      <c r="L320" s="228"/>
      <c r="M320" s="217"/>
      <c r="N320" s="217"/>
      <c r="O320" s="229"/>
      <c r="P320" s="229"/>
      <c r="Q320" s="52"/>
      <c r="R320" s="56"/>
    </row>
    <row r="321" ht="42.600000000000001" customHeight="1">
      <c r="A321" s="208"/>
      <c r="B321" s="226"/>
      <c r="C321" s="242"/>
      <c r="D321" s="242"/>
      <c r="E321" s="242"/>
      <c r="F321" s="242"/>
      <c r="G321" s="242"/>
      <c r="H321" s="245"/>
      <c r="I321" s="245"/>
      <c r="J321" s="242"/>
      <c r="K321" s="242"/>
      <c r="L321" s="242"/>
      <c r="M321" s="242"/>
      <c r="N321" s="242"/>
      <c r="O321" s="229"/>
      <c r="P321" s="229"/>
      <c r="Q321" s="52"/>
      <c r="R321" s="56"/>
    </row>
    <row r="322" ht="42.600000000000001" customHeight="1">
      <c r="A322" s="208"/>
      <c r="B322" s="56"/>
      <c r="C322" s="52"/>
      <c r="D322" s="56"/>
      <c r="E322" s="242"/>
      <c r="F322" s="242"/>
      <c r="G322" s="242"/>
      <c r="H322" s="245"/>
      <c r="I322" s="245"/>
      <c r="J322" s="246"/>
      <c r="K322" s="53"/>
      <c r="L322" s="52"/>
      <c r="M322" s="55"/>
      <c r="N322" s="52"/>
      <c r="O322" s="229"/>
      <c r="P322" s="229"/>
      <c r="Q322" s="247"/>
      <c r="R322" s="56"/>
    </row>
    <row r="323" ht="42" customHeight="1">
      <c r="A323" s="208"/>
      <c r="B323" s="226"/>
      <c r="C323" s="92"/>
      <c r="D323" s="92"/>
      <c r="E323" s="242"/>
      <c r="F323" s="242"/>
      <c r="G323" s="242"/>
      <c r="H323" s="245"/>
      <c r="I323" s="245"/>
      <c r="J323" s="248"/>
      <c r="K323" s="53"/>
      <c r="L323" s="52"/>
      <c r="M323" s="55"/>
      <c r="N323" s="52"/>
      <c r="O323" s="229"/>
      <c r="P323" s="229"/>
      <c r="Q323" s="249"/>
      <c r="R323" s="56"/>
    </row>
    <row r="324" ht="42.600000000000001" customHeight="1">
      <c r="A324" s="208"/>
      <c r="B324" s="226" t="s">
        <v>236</v>
      </c>
      <c r="C324" s="226"/>
      <c r="D324" s="226"/>
      <c r="E324" s="226"/>
      <c r="F324" s="226"/>
      <c r="G324" s="226"/>
      <c r="H324" s="226"/>
      <c r="I324" s="226"/>
      <c r="J324" s="226"/>
      <c r="K324" s="226"/>
      <c r="L324" s="226"/>
      <c r="M324" s="226"/>
      <c r="N324" s="226"/>
      <c r="O324" s="229"/>
      <c r="P324" s="229"/>
      <c r="Q324" s="249"/>
      <c r="R324" s="56"/>
    </row>
    <row r="325" ht="42.600000000000001" customHeight="1">
      <c r="A325" s="208"/>
      <c r="B325" s="226" t="s">
        <v>237</v>
      </c>
      <c r="C325" s="101"/>
      <c r="D325" s="101"/>
      <c r="E325" s="101"/>
      <c r="F325" s="101"/>
      <c r="G325" s="101"/>
      <c r="H325" s="126"/>
      <c r="I325" s="126"/>
      <c r="J325" s="101"/>
      <c r="K325" s="53"/>
      <c r="L325" s="53"/>
      <c r="M325" s="56"/>
      <c r="N325" s="56"/>
      <c r="O325" s="229"/>
      <c r="P325" s="229"/>
      <c r="Q325" s="249"/>
      <c r="R325" s="56"/>
    </row>
    <row r="326" ht="42.600000000000001" customHeight="1">
      <c r="A326" s="208"/>
      <c r="B326" s="226" t="s">
        <v>238</v>
      </c>
      <c r="C326" s="101"/>
      <c r="D326" s="101"/>
      <c r="E326" s="101"/>
      <c r="F326" s="101"/>
      <c r="G326" s="101"/>
      <c r="H326" s="126"/>
      <c r="I326" s="126"/>
      <c r="J326" s="101"/>
      <c r="K326" s="53"/>
      <c r="L326" s="53"/>
      <c r="M326" s="56"/>
      <c r="N326" s="56"/>
      <c r="O326" s="229"/>
      <c r="P326" s="229"/>
      <c r="Q326" s="249"/>
      <c r="R326" s="56"/>
    </row>
    <row r="327" ht="42.600000000000001" customHeight="1">
      <c r="A327" s="208"/>
      <c r="B327" s="226"/>
      <c r="C327" s="101"/>
      <c r="D327" s="101"/>
      <c r="E327" s="101"/>
      <c r="F327" s="101"/>
      <c r="G327" s="101"/>
      <c r="H327" s="250"/>
      <c r="I327" s="250"/>
      <c r="J327" s="101"/>
      <c r="K327" s="53"/>
      <c r="L327" s="53"/>
      <c r="M327" s="56"/>
      <c r="N327" s="56"/>
      <c r="O327" s="249"/>
      <c r="P327" s="249"/>
      <c r="Q327" s="249"/>
      <c r="R327" s="56"/>
    </row>
    <row r="328" ht="42.600000000000001" customHeight="1">
      <c r="A328" s="208"/>
      <c r="B328" s="226" t="s">
        <v>123</v>
      </c>
      <c r="C328" s="101"/>
      <c r="D328" s="101"/>
      <c r="E328" s="101"/>
      <c r="F328" s="101"/>
      <c r="G328" s="101"/>
      <c r="H328" s="250"/>
      <c r="I328" s="250"/>
      <c r="J328" s="251" t="s">
        <v>239</v>
      </c>
      <c r="K328" s="53"/>
      <c r="L328" s="53"/>
      <c r="M328" s="56"/>
      <c r="N328" s="56"/>
      <c r="O328" s="249"/>
      <c r="P328" s="249"/>
      <c r="Q328" s="249"/>
      <c r="R328" s="56"/>
    </row>
    <row r="329" ht="42.600000000000001" customHeight="1">
      <c r="A329" s="208"/>
      <c r="B329" s="226"/>
      <c r="C329" s="101"/>
      <c r="D329" s="101"/>
      <c r="E329" s="101"/>
      <c r="F329" s="101"/>
      <c r="G329" s="101"/>
      <c r="H329" s="250"/>
      <c r="I329" s="250"/>
      <c r="J329" s="101"/>
      <c r="K329" s="53"/>
      <c r="L329" s="53"/>
      <c r="M329" s="56"/>
      <c r="N329" s="56"/>
      <c r="O329" s="249"/>
      <c r="P329" s="249"/>
      <c r="Q329" s="249"/>
      <c r="R329" s="56"/>
    </row>
    <row r="330" ht="42.600000000000001" customHeight="1">
      <c r="A330" s="208"/>
      <c r="B330" s="252"/>
      <c r="C330" s="56"/>
      <c r="D330" s="56"/>
      <c r="E330" s="56"/>
      <c r="F330" s="56"/>
      <c r="G330" s="125"/>
      <c r="H330" s="250"/>
      <c r="I330" s="250"/>
      <c r="J330" s="127"/>
      <c r="K330" s="53"/>
      <c r="L330" s="53"/>
      <c r="M330" s="253"/>
      <c r="N330" s="254"/>
      <c r="O330" s="255"/>
      <c r="P330" s="255"/>
      <c r="Q330" s="247"/>
      <c r="R330" s="56"/>
    </row>
    <row r="331" ht="42.600000000000001" customHeight="1">
      <c r="A331" s="208"/>
      <c r="B331" s="226"/>
      <c r="C331" s="101"/>
      <c r="D331" s="101"/>
      <c r="E331" s="101"/>
      <c r="F331" s="101"/>
      <c r="G331" s="101"/>
      <c r="H331" s="250"/>
      <c r="I331" s="250"/>
      <c r="J331" s="101"/>
      <c r="K331" s="53"/>
      <c r="L331" s="53"/>
      <c r="M331" s="56"/>
      <c r="N331" s="56"/>
      <c r="O331" s="249"/>
      <c r="P331" s="249"/>
      <c r="Q331" s="249"/>
      <c r="R331" s="56"/>
    </row>
    <row r="332" ht="42.600000000000001" customHeight="1">
      <c r="A332" s="208"/>
      <c r="B332" s="256" t="s">
        <v>240</v>
      </c>
      <c r="C332" s="101"/>
      <c r="D332" s="101"/>
      <c r="E332" s="101"/>
      <c r="F332" s="101"/>
      <c r="G332" s="101"/>
      <c r="H332" s="250"/>
      <c r="I332" s="250"/>
      <c r="J332" s="257" t="s">
        <v>241</v>
      </c>
      <c r="K332" s="53"/>
      <c r="L332" s="53"/>
      <c r="M332" s="56"/>
      <c r="N332" s="56"/>
      <c r="O332" s="249"/>
      <c r="P332" s="249"/>
      <c r="Q332" s="249"/>
      <c r="R332" s="56"/>
    </row>
    <row r="333" ht="42.600000000000001" customHeight="1">
      <c r="A333" s="208"/>
      <c r="B333" s="258"/>
      <c r="C333" s="101"/>
      <c r="D333" s="101"/>
      <c r="E333" s="101"/>
      <c r="F333" s="101"/>
      <c r="G333" s="101"/>
      <c r="H333" s="250"/>
      <c r="I333" s="250"/>
      <c r="J333" s="101"/>
      <c r="K333" s="53"/>
      <c r="L333" s="53"/>
      <c r="M333" s="56"/>
      <c r="N333" s="56"/>
      <c r="O333" s="249"/>
      <c r="P333" s="249"/>
      <c r="Q333" s="249"/>
      <c r="R333" s="56"/>
    </row>
    <row r="334" ht="42.600000000000001" customHeight="1">
      <c r="A334" s="208"/>
      <c r="B334" s="258"/>
      <c r="C334" s="101"/>
      <c r="D334" s="101"/>
      <c r="E334" s="101"/>
      <c r="F334" s="101"/>
      <c r="G334" s="101"/>
      <c r="H334" s="250"/>
      <c r="I334" s="250"/>
      <c r="J334" s="101"/>
      <c r="K334" s="53"/>
      <c r="L334" s="53"/>
      <c r="M334" s="56"/>
      <c r="N334" s="56"/>
      <c r="O334" s="249"/>
      <c r="P334" s="249"/>
      <c r="Q334" s="249"/>
      <c r="R334" s="56"/>
    </row>
    <row r="335" ht="42.600000000000001" customHeight="1">
      <c r="A335" s="208"/>
      <c r="B335" s="226"/>
      <c r="C335" s="101"/>
      <c r="D335" s="101"/>
      <c r="E335" s="101"/>
      <c r="F335" s="101"/>
      <c r="G335" s="101"/>
      <c r="H335" s="250"/>
      <c r="I335" s="250"/>
      <c r="J335" s="56"/>
      <c r="K335" s="56"/>
      <c r="L335" s="56"/>
      <c r="M335" s="56"/>
      <c r="N335" s="56"/>
      <c r="O335" s="56"/>
      <c r="P335" s="56"/>
      <c r="Q335" s="56"/>
      <c r="R335" s="56"/>
    </row>
    <row r="336" ht="42.600000000000001" customHeight="1">
      <c r="A336" s="208"/>
      <c r="B336" s="226"/>
      <c r="C336" s="101"/>
      <c r="D336" s="101"/>
      <c r="E336" s="101"/>
      <c r="F336" s="101"/>
      <c r="G336" s="101"/>
      <c r="H336" s="250"/>
      <c r="I336" s="250"/>
      <c r="J336" s="56"/>
      <c r="K336" s="56"/>
      <c r="L336" s="56"/>
      <c r="M336" s="56"/>
      <c r="N336" s="56"/>
      <c r="O336" s="56"/>
      <c r="P336" s="56"/>
      <c r="Q336" s="56"/>
      <c r="R336" s="56"/>
    </row>
    <row r="337" ht="42.600000000000001" customHeight="1">
      <c r="A337" s="259"/>
      <c r="B337" s="252"/>
      <c r="C337" s="56"/>
      <c r="D337" s="56"/>
      <c r="E337" s="56"/>
      <c r="F337" s="56"/>
      <c r="G337" s="125"/>
      <c r="H337" s="250"/>
      <c r="I337" s="250"/>
      <c r="J337" s="125"/>
      <c r="K337" s="53"/>
      <c r="L337" s="53"/>
      <c r="M337" s="56"/>
      <c r="N337" s="56"/>
      <c r="O337" s="249"/>
      <c r="P337" s="249"/>
      <c r="Q337" s="255"/>
      <c r="R337" s="56"/>
    </row>
    <row r="338" ht="42.600000000000001" customHeight="1">
      <c r="A338" s="259"/>
      <c r="B338" s="226"/>
      <c r="C338" s="101"/>
      <c r="D338" s="101"/>
      <c r="E338" s="101"/>
      <c r="F338" s="101"/>
      <c r="G338" s="101"/>
      <c r="H338" s="250"/>
      <c r="I338" s="250"/>
      <c r="J338" s="101"/>
      <c r="K338" s="53"/>
      <c r="L338" s="53"/>
      <c r="M338" s="56"/>
      <c r="N338" s="56"/>
      <c r="O338" s="249"/>
      <c r="P338" s="249"/>
      <c r="Q338" s="249"/>
      <c r="R338" s="56"/>
    </row>
    <row r="339" ht="42.600000000000001" customHeight="1">
      <c r="A339" s="205"/>
      <c r="B339" s="260"/>
      <c r="C339" s="52"/>
      <c r="D339" s="54"/>
      <c r="E339" s="52"/>
      <c r="F339" s="52"/>
      <c r="G339" s="52"/>
      <c r="H339" s="250"/>
      <c r="I339" s="250"/>
      <c r="J339" s="52"/>
      <c r="K339" s="53"/>
      <c r="L339" s="53"/>
      <c r="M339" s="56"/>
      <c r="N339" s="56"/>
      <c r="O339" s="249"/>
      <c r="P339" s="249"/>
      <c r="Q339" s="249"/>
      <c r="R339" s="56"/>
    </row>
    <row r="340" ht="42.600000000000001" customHeight="1">
      <c r="A340" s="205"/>
      <c r="B340" s="226"/>
      <c r="C340" s="153"/>
      <c r="D340" s="153"/>
      <c r="E340" s="153"/>
      <c r="F340" s="153"/>
      <c r="G340" s="153"/>
      <c r="H340" s="250"/>
      <c r="I340" s="250"/>
      <c r="J340" s="153"/>
      <c r="K340" s="53"/>
      <c r="L340" s="53"/>
      <c r="M340" s="56"/>
      <c r="N340" s="56"/>
      <c r="O340" s="261"/>
      <c r="P340" s="261"/>
      <c r="Q340" s="261"/>
      <c r="R340" s="56"/>
    </row>
    <row r="341" ht="42.600000000000001" customHeight="1">
      <c r="A341" s="205"/>
      <c r="B341" s="226"/>
      <c r="C341" s="153"/>
      <c r="D341" s="153"/>
      <c r="E341" s="153"/>
      <c r="F341" s="153"/>
      <c r="G341" s="153"/>
      <c r="H341" s="250"/>
      <c r="I341" s="250"/>
      <c r="J341" s="153"/>
      <c r="K341" s="156"/>
      <c r="L341" s="53"/>
      <c r="M341" s="254"/>
      <c r="N341" s="56"/>
      <c r="O341" s="249"/>
      <c r="P341" s="249"/>
      <c r="Q341" s="249"/>
      <c r="R341" s="56"/>
    </row>
    <row r="342" ht="42.600000000000001" customHeight="1">
      <c r="A342" s="205"/>
      <c r="B342" s="163"/>
      <c r="C342" s="153"/>
      <c r="D342" s="153"/>
      <c r="E342" s="153"/>
      <c r="F342" s="153"/>
      <c r="G342" s="153"/>
      <c r="H342" s="250"/>
      <c r="I342" s="250"/>
      <c r="J342" s="153"/>
      <c r="K342" s="53"/>
      <c r="L342" s="53"/>
      <c r="M342" s="56"/>
      <c r="N342" s="56"/>
      <c r="O342" s="249"/>
      <c r="P342" s="249"/>
      <c r="Q342" s="261"/>
      <c r="R342" s="56"/>
    </row>
    <row r="343" ht="42.600000000000001" customHeight="1">
      <c r="A343" s="205"/>
      <c r="B343" s="262"/>
      <c r="C343" s="56"/>
      <c r="D343" s="252"/>
      <c r="E343" s="56"/>
      <c r="F343" s="56"/>
      <c r="G343" s="56"/>
      <c r="H343" s="250"/>
      <c r="I343" s="250"/>
      <c r="J343" s="56"/>
      <c r="K343" s="263"/>
      <c r="L343" s="53"/>
      <c r="M343" s="52"/>
      <c r="N343" s="56"/>
      <c r="O343" s="249"/>
      <c r="P343" s="249"/>
      <c r="Q343" s="249"/>
      <c r="R343" s="56"/>
    </row>
    <row r="344" ht="42.600000000000001" customHeight="1">
      <c r="A344" s="205"/>
      <c r="B344" s="264"/>
      <c r="C344" s="52"/>
      <c r="D344" s="54"/>
      <c r="E344" s="52"/>
      <c r="F344" s="52"/>
      <c r="G344" s="52"/>
      <c r="H344" s="250"/>
      <c r="I344" s="250"/>
      <c r="J344" s="52"/>
      <c r="K344" s="53"/>
      <c r="L344" s="53"/>
      <c r="M344" s="52"/>
      <c r="N344" s="56"/>
      <c r="O344" s="249"/>
      <c r="P344" s="249"/>
      <c r="Q344" s="249"/>
      <c r="R344" s="56"/>
    </row>
    <row r="345" ht="42.600000000000001" customHeight="1">
      <c r="A345" s="205"/>
      <c r="B345" s="226"/>
      <c r="C345" s="52"/>
      <c r="D345" s="54"/>
      <c r="E345" s="52"/>
      <c r="F345" s="52"/>
      <c r="G345" s="52"/>
      <c r="H345" s="250"/>
      <c r="I345" s="250"/>
      <c r="J345" s="52"/>
      <c r="K345" s="53"/>
      <c r="L345" s="53"/>
      <c r="M345" s="52"/>
      <c r="N345" s="52"/>
      <c r="O345" s="249"/>
      <c r="P345" s="249"/>
      <c r="Q345" s="249"/>
      <c r="R345" s="56"/>
    </row>
    <row r="346" ht="42.600000000000001" customHeight="1">
      <c r="A346" s="205"/>
      <c r="B346" s="226"/>
      <c r="C346" s="52"/>
      <c r="D346" s="54"/>
      <c r="E346" s="52"/>
      <c r="F346" s="52"/>
      <c r="G346" s="52"/>
      <c r="H346" s="250"/>
      <c r="I346" s="250"/>
      <c r="J346" s="52"/>
      <c r="K346" s="53"/>
      <c r="L346" s="53"/>
      <c r="M346" s="56"/>
      <c r="N346" s="56"/>
      <c r="O346" s="249"/>
      <c r="P346" s="249"/>
      <c r="Q346" s="249"/>
      <c r="R346" s="56"/>
    </row>
    <row r="347" ht="42.600000000000001" customHeight="1">
      <c r="A347" s="205"/>
      <c r="B347" s="226"/>
      <c r="C347" s="52"/>
      <c r="D347" s="54"/>
      <c r="E347" s="52"/>
      <c r="F347" s="52"/>
      <c r="G347" s="52"/>
      <c r="H347" s="250"/>
      <c r="I347" s="250"/>
      <c r="J347" s="52"/>
      <c r="K347" s="53"/>
      <c r="L347" s="53"/>
      <c r="M347" s="56"/>
      <c r="N347" s="56"/>
      <c r="O347" s="249"/>
      <c r="P347" s="249"/>
      <c r="Q347" s="249"/>
      <c r="R347" s="56"/>
    </row>
    <row r="348" ht="42.600000000000001" customHeight="1">
      <c r="A348" s="205"/>
      <c r="B348" s="226"/>
      <c r="C348" s="52"/>
      <c r="D348" s="54"/>
      <c r="E348" s="52"/>
      <c r="F348" s="52"/>
      <c r="G348" s="52"/>
      <c r="H348" s="250"/>
      <c r="I348" s="250"/>
      <c r="J348" s="52"/>
      <c r="K348" s="53"/>
      <c r="L348" s="53"/>
      <c r="M348" s="56"/>
      <c r="N348" s="56"/>
      <c r="O348" s="249"/>
      <c r="P348" s="249"/>
      <c r="Q348" s="249"/>
      <c r="R348" s="56"/>
    </row>
    <row r="349" ht="42.600000000000001" customHeight="1">
      <c r="A349" s="205"/>
      <c r="B349" s="226"/>
      <c r="C349" s="52"/>
      <c r="D349" s="54"/>
      <c r="E349" s="52"/>
      <c r="F349" s="52"/>
      <c r="G349" s="52"/>
      <c r="H349" s="250"/>
      <c r="I349" s="250"/>
      <c r="J349" s="52"/>
      <c r="K349" s="53"/>
      <c r="L349" s="53"/>
      <c r="M349" s="56"/>
      <c r="N349" s="56"/>
      <c r="O349" s="249"/>
      <c r="P349" s="249"/>
      <c r="Q349" s="249"/>
      <c r="R349" s="56"/>
    </row>
    <row r="350" ht="42.600000000000001" customHeight="1">
      <c r="A350" s="205"/>
      <c r="B350" s="226"/>
      <c r="C350" s="52"/>
      <c r="D350" s="54"/>
      <c r="E350" s="52"/>
      <c r="F350" s="52"/>
      <c r="G350" s="52"/>
      <c r="H350" s="250"/>
      <c r="I350" s="250"/>
      <c r="J350" s="52"/>
      <c r="K350" s="53"/>
      <c r="L350" s="53"/>
      <c r="M350" s="56"/>
      <c r="N350" s="56"/>
      <c r="O350" s="249"/>
      <c r="P350" s="249"/>
      <c r="Q350" s="249"/>
      <c r="R350" s="56"/>
    </row>
    <row r="351" ht="42.600000000000001" customHeight="1">
      <c r="A351" s="205"/>
      <c r="B351" s="226"/>
      <c r="C351" s="52"/>
      <c r="D351" s="54"/>
      <c r="E351" s="52"/>
      <c r="F351" s="52"/>
      <c r="G351" s="52"/>
      <c r="H351" s="250"/>
      <c r="I351" s="250"/>
      <c r="J351" s="52"/>
      <c r="K351" s="53"/>
      <c r="L351" s="53"/>
      <c r="M351" s="56"/>
      <c r="N351" s="56"/>
      <c r="O351" s="249"/>
      <c r="P351" s="249"/>
      <c r="Q351" s="249"/>
      <c r="R351" s="56"/>
    </row>
    <row r="352" ht="42.600000000000001" customHeight="1">
      <c r="A352" s="205"/>
      <c r="B352" s="226"/>
      <c r="C352" s="52"/>
      <c r="D352" s="54"/>
      <c r="E352" s="52"/>
      <c r="F352" s="52"/>
      <c r="G352" s="52"/>
      <c r="H352" s="250"/>
      <c r="I352" s="250"/>
      <c r="J352" s="52"/>
      <c r="K352" s="53"/>
      <c r="L352" s="53"/>
      <c r="M352" s="56"/>
      <c r="N352" s="56"/>
      <c r="O352" s="249"/>
      <c r="P352" s="249"/>
      <c r="Q352" s="249"/>
      <c r="R352" s="56"/>
    </row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s="53" customFormat="1" ht="15" customHeight="1">
      <c r="B361" s="52"/>
      <c r="C361" s="52"/>
      <c r="D361" s="54"/>
      <c r="E361" s="52"/>
      <c r="F361" s="52"/>
      <c r="G361" s="52"/>
      <c r="H361" s="52"/>
      <c r="I361" s="52"/>
      <c r="J361" s="52"/>
      <c r="M361" s="52"/>
      <c r="N361" s="55"/>
      <c r="O361" s="52"/>
      <c r="P361" s="52"/>
      <c r="Q361" s="52"/>
      <c r="R361" s="56"/>
      <c r="S361" s="52"/>
      <c r="T361" s="52"/>
    </row>
    <row r="362" s="53" customFormat="1" ht="15" customHeight="1">
      <c r="B362" s="52"/>
      <c r="C362" s="52"/>
      <c r="D362" s="54"/>
      <c r="E362" s="52"/>
      <c r="F362" s="52"/>
      <c r="G362" s="52"/>
      <c r="H362" s="52"/>
      <c r="I362" s="52"/>
      <c r="J362" s="52"/>
      <c r="M362" s="52"/>
      <c r="N362" s="55"/>
      <c r="O362" s="52"/>
      <c r="P362" s="52"/>
      <c r="Q362" s="52"/>
      <c r="R362" s="56"/>
      <c r="S362" s="52"/>
      <c r="T362" s="52"/>
    </row>
    <row r="363" s="53" customFormat="1" ht="15" customHeight="1">
      <c r="B363" s="52"/>
      <c r="C363" s="52"/>
      <c r="D363" s="54"/>
      <c r="E363" s="52"/>
      <c r="F363" s="52"/>
      <c r="G363" s="52"/>
      <c r="H363" s="52"/>
      <c r="I363" s="52"/>
      <c r="J363" s="52"/>
      <c r="M363" s="52"/>
      <c r="N363" s="55"/>
      <c r="O363" s="52"/>
      <c r="P363" s="52"/>
      <c r="Q363" s="52"/>
      <c r="R363" s="56"/>
      <c r="S363" s="52"/>
      <c r="T363" s="52"/>
    </row>
    <row r="364" s="53" customFormat="1" ht="15" customHeight="1">
      <c r="B364" s="52"/>
      <c r="C364" s="52"/>
      <c r="D364" s="54"/>
      <c r="E364" s="52"/>
      <c r="F364" s="52"/>
      <c r="G364" s="52"/>
      <c r="H364" s="52"/>
      <c r="I364" s="52"/>
      <c r="J364" s="52"/>
      <c r="M364" s="52"/>
      <c r="N364" s="55"/>
      <c r="O364" s="52"/>
      <c r="P364" s="52"/>
      <c r="Q364" s="52"/>
      <c r="R364" s="56"/>
      <c r="S364" s="52"/>
      <c r="T364" s="52"/>
    </row>
    <row r="365" s="53" customFormat="1" ht="15" customHeight="1">
      <c r="B365" s="52"/>
      <c r="C365" s="52"/>
      <c r="D365" s="54"/>
      <c r="E365" s="52"/>
      <c r="F365" s="52"/>
      <c r="G365" s="52"/>
      <c r="H365" s="52"/>
      <c r="I365" s="52"/>
      <c r="J365" s="52"/>
      <c r="M365" s="52"/>
      <c r="N365" s="55"/>
      <c r="O365" s="52"/>
      <c r="P365" s="52"/>
      <c r="Q365" s="52"/>
      <c r="R365" s="56"/>
      <c r="S365" s="52"/>
      <c r="T365" s="52"/>
    </row>
    <row r="366" s="53" customFormat="1" ht="15" customHeight="1">
      <c r="B366" s="52"/>
      <c r="C366" s="52"/>
      <c r="D366" s="54"/>
      <c r="E366" s="52"/>
      <c r="F366" s="52"/>
      <c r="G366" s="52"/>
      <c r="H366" s="52"/>
      <c r="I366" s="52"/>
      <c r="J366" s="52"/>
      <c r="M366" s="52"/>
      <c r="N366" s="55"/>
      <c r="O366" s="52"/>
      <c r="P366" s="52"/>
      <c r="Q366" s="52"/>
      <c r="R366" s="56"/>
      <c r="S366" s="52"/>
      <c r="T366" s="52"/>
    </row>
    <row r="367" s="53" customFormat="1" ht="15" customHeight="1">
      <c r="B367" s="52"/>
      <c r="C367" s="52"/>
      <c r="D367" s="54"/>
      <c r="E367" s="52"/>
      <c r="F367" s="52"/>
      <c r="G367" s="52"/>
      <c r="H367" s="52"/>
      <c r="I367" s="52"/>
      <c r="J367" s="52"/>
      <c r="M367" s="52"/>
      <c r="N367" s="55"/>
      <c r="O367" s="52"/>
      <c r="P367" s="52"/>
      <c r="Q367" s="52"/>
      <c r="R367" s="56"/>
      <c r="S367" s="52"/>
      <c r="T367" s="52"/>
    </row>
    <row r="368" s="53" customFormat="1" ht="15" customHeight="1">
      <c r="B368" s="52"/>
      <c r="C368" s="52"/>
      <c r="D368" s="54"/>
      <c r="E368" s="52"/>
      <c r="F368" s="52"/>
      <c r="G368" s="52"/>
      <c r="H368" s="52"/>
      <c r="I368" s="52"/>
      <c r="J368" s="52"/>
      <c r="M368" s="52"/>
      <c r="N368" s="55"/>
      <c r="O368" s="52"/>
      <c r="P368" s="52"/>
      <c r="Q368" s="52"/>
      <c r="R368" s="56"/>
      <c r="S368" s="52"/>
      <c r="T368" s="52"/>
    </row>
    <row r="369" s="53" customFormat="1" ht="15" customHeight="1">
      <c r="B369" s="52"/>
      <c r="C369" s="52"/>
      <c r="D369" s="54"/>
      <c r="E369" s="52"/>
      <c r="F369" s="52"/>
      <c r="G369" s="52"/>
      <c r="H369" s="52"/>
      <c r="I369" s="52"/>
      <c r="J369" s="52"/>
      <c r="M369" s="52"/>
      <c r="N369" s="55"/>
      <c r="O369" s="52"/>
      <c r="P369" s="52"/>
      <c r="Q369" s="52"/>
      <c r="R369" s="56"/>
      <c r="S369" s="52"/>
      <c r="T369" s="52"/>
    </row>
    <row r="370" s="53" customFormat="1" ht="15" customHeight="1">
      <c r="B370" s="52"/>
      <c r="C370" s="52"/>
      <c r="D370" s="54"/>
      <c r="E370" s="52"/>
      <c r="F370" s="52"/>
      <c r="G370" s="52"/>
      <c r="H370" s="52"/>
      <c r="I370" s="52"/>
      <c r="J370" s="52"/>
      <c r="M370" s="52"/>
      <c r="N370" s="55"/>
      <c r="O370" s="52"/>
      <c r="P370" s="52"/>
      <c r="Q370" s="52"/>
      <c r="R370" s="56"/>
      <c r="S370" s="52"/>
      <c r="T370" s="52"/>
    </row>
    <row r="371" s="53" customFormat="1" ht="15" customHeight="1">
      <c r="B371" s="52"/>
      <c r="C371" s="52"/>
      <c r="D371" s="54"/>
      <c r="E371" s="52"/>
      <c r="F371" s="52"/>
      <c r="G371" s="52"/>
      <c r="H371" s="52"/>
      <c r="I371" s="52"/>
      <c r="J371" s="52"/>
      <c r="M371" s="52"/>
      <c r="N371" s="55"/>
      <c r="O371" s="52"/>
      <c r="P371" s="52"/>
      <c r="Q371" s="52"/>
      <c r="R371" s="56"/>
      <c r="S371" s="52"/>
      <c r="T371" s="52"/>
    </row>
    <row r="372" s="53" customFormat="1" ht="15" customHeight="1">
      <c r="B372" s="52"/>
      <c r="C372" s="52"/>
      <c r="D372" s="54"/>
      <c r="E372" s="52"/>
      <c r="F372" s="52"/>
      <c r="G372" s="52"/>
      <c r="H372" s="52"/>
      <c r="I372" s="52"/>
      <c r="J372" s="52"/>
      <c r="M372" s="52"/>
      <c r="N372" s="55"/>
      <c r="O372" s="52"/>
      <c r="P372" s="52"/>
      <c r="Q372" s="52"/>
      <c r="R372" s="56"/>
      <c r="S372" s="52"/>
      <c r="T372" s="52"/>
    </row>
    <row r="373" s="53" customFormat="1" ht="15" customHeight="1">
      <c r="B373" s="52"/>
      <c r="C373" s="52"/>
      <c r="D373" s="54"/>
      <c r="E373" s="52"/>
      <c r="F373" s="52"/>
      <c r="G373" s="52"/>
      <c r="H373" s="52"/>
      <c r="I373" s="52"/>
      <c r="J373" s="52"/>
      <c r="M373" s="52"/>
      <c r="N373" s="55"/>
      <c r="O373" s="52"/>
      <c r="P373" s="52"/>
      <c r="Q373" s="52"/>
      <c r="R373" s="56"/>
      <c r="S373" s="52"/>
      <c r="T373" s="52"/>
    </row>
    <row r="374" s="53" customFormat="1" ht="15" customHeight="1">
      <c r="B374" s="52"/>
      <c r="C374" s="52"/>
      <c r="D374" s="54"/>
      <c r="E374" s="52"/>
      <c r="F374" s="52"/>
      <c r="G374" s="52"/>
      <c r="H374" s="52"/>
      <c r="I374" s="52"/>
      <c r="J374" s="52"/>
      <c r="M374" s="52"/>
      <c r="N374" s="55"/>
      <c r="O374" s="52"/>
      <c r="P374" s="52"/>
      <c r="Q374" s="52"/>
      <c r="R374" s="56"/>
      <c r="S374" s="52"/>
      <c r="T374" s="52"/>
    </row>
    <row r="375" s="53" customFormat="1" ht="15" customHeight="1">
      <c r="B375" s="52"/>
      <c r="C375" s="52"/>
      <c r="D375" s="54"/>
      <c r="E375" s="52"/>
      <c r="F375" s="52"/>
      <c r="G375" s="52"/>
      <c r="H375" s="52"/>
      <c r="I375" s="52"/>
      <c r="J375" s="52"/>
      <c r="M375" s="52"/>
      <c r="N375" s="55"/>
      <c r="O375" s="52"/>
      <c r="P375" s="52"/>
      <c r="Q375" s="52"/>
      <c r="R375" s="56"/>
      <c r="S375" s="52"/>
      <c r="T375" s="52"/>
    </row>
    <row r="376" s="53" customFormat="1" ht="15" customHeight="1">
      <c r="B376" s="52"/>
      <c r="C376" s="52"/>
      <c r="D376" s="54"/>
      <c r="E376" s="52"/>
      <c r="F376" s="52"/>
      <c r="G376" s="52"/>
      <c r="H376" s="52"/>
      <c r="I376" s="52"/>
      <c r="J376" s="52"/>
      <c r="M376" s="52"/>
      <c r="N376" s="55"/>
      <c r="O376" s="52"/>
      <c r="P376" s="52"/>
      <c r="Q376" s="52"/>
      <c r="R376" s="56"/>
      <c r="S376" s="52"/>
      <c r="T376" s="52"/>
    </row>
    <row r="377" s="53" customFormat="1" ht="15" customHeight="1">
      <c r="B377" s="52"/>
      <c r="C377" s="52"/>
      <c r="D377" s="54"/>
      <c r="E377" s="52"/>
      <c r="F377" s="52"/>
      <c r="G377" s="52"/>
      <c r="H377" s="52"/>
      <c r="I377" s="52"/>
      <c r="J377" s="52"/>
      <c r="M377" s="52"/>
      <c r="N377" s="55"/>
      <c r="O377" s="52"/>
      <c r="P377" s="52"/>
      <c r="Q377" s="52"/>
      <c r="R377" s="56"/>
      <c r="S377" s="52"/>
      <c r="T377" s="52"/>
    </row>
    <row r="378" s="53" customFormat="1" ht="15" customHeight="1">
      <c r="B378" s="52"/>
      <c r="C378" s="52"/>
      <c r="D378" s="54"/>
      <c r="E378" s="52"/>
      <c r="F378" s="52"/>
      <c r="G378" s="52"/>
      <c r="H378" s="52"/>
      <c r="I378" s="52"/>
      <c r="J378" s="52"/>
      <c r="M378" s="52"/>
      <c r="N378" s="55"/>
      <c r="O378" s="52"/>
      <c r="P378" s="52"/>
      <c r="Q378" s="52"/>
      <c r="R378" s="56"/>
      <c r="S378" s="52"/>
      <c r="T378" s="52"/>
    </row>
    <row r="379" s="53" customFormat="1" ht="15" customHeight="1">
      <c r="B379" s="52"/>
      <c r="C379" s="52"/>
      <c r="D379" s="54"/>
      <c r="E379" s="52"/>
      <c r="F379" s="52"/>
      <c r="G379" s="52"/>
      <c r="H379" s="52"/>
      <c r="I379" s="52"/>
      <c r="J379" s="52"/>
      <c r="M379" s="52"/>
      <c r="N379" s="55"/>
      <c r="O379" s="52"/>
      <c r="P379" s="52"/>
      <c r="Q379" s="52"/>
      <c r="R379" s="56"/>
      <c r="S379" s="52"/>
      <c r="T379" s="52"/>
    </row>
  </sheetData>
  <mergeCells count="292">
    <mergeCell ref="O108:P108"/>
    <mergeCell ref="O173:P173"/>
    <mergeCell ref="O311:P311"/>
    <mergeCell ref="O318:P318"/>
    <mergeCell ref="O319:P319"/>
    <mergeCell ref="O284:P284"/>
    <mergeCell ref="O287:P287"/>
    <mergeCell ref="A293:P293"/>
    <mergeCell ref="H294:I294"/>
    <mergeCell ref="O294:P294"/>
    <mergeCell ref="O295:P295"/>
    <mergeCell ref="O270:P270"/>
    <mergeCell ref="O271:P271"/>
    <mergeCell ref="O272:P272"/>
    <mergeCell ref="O273:P273"/>
    <mergeCell ref="O274:P274"/>
    <mergeCell ref="O275:P275"/>
    <mergeCell ref="E318:I318"/>
    <mergeCell ref="E319:I319"/>
    <mergeCell ref="K310:L310"/>
    <mergeCell ref="L312:N312"/>
    <mergeCell ref="L313:N313"/>
    <mergeCell ref="E315:I315"/>
    <mergeCell ref="E316:I316"/>
    <mergeCell ref="H350:I350"/>
    <mergeCell ref="A1:R2"/>
    <mergeCell ref="G3:R3"/>
    <mergeCell ref="G4:R4"/>
    <mergeCell ref="G5:R5"/>
    <mergeCell ref="O248:P248"/>
    <mergeCell ref="O249:P249"/>
    <mergeCell ref="O250:P250"/>
    <mergeCell ref="O251:P251"/>
    <mergeCell ref="O69:P69"/>
    <mergeCell ref="H346:I346"/>
    <mergeCell ref="O346:P346"/>
    <mergeCell ref="H347:I347"/>
    <mergeCell ref="O347:P347"/>
    <mergeCell ref="H348:I348"/>
    <mergeCell ref="H349:I349"/>
    <mergeCell ref="H343:I343"/>
    <mergeCell ref="O343:P343"/>
    <mergeCell ref="H344:I344"/>
    <mergeCell ref="O344:P344"/>
    <mergeCell ref="H345:I345"/>
    <mergeCell ref="O345:P345"/>
    <mergeCell ref="H340:I340"/>
    <mergeCell ref="O340:P340"/>
    <mergeCell ref="H341:I341"/>
    <mergeCell ref="O341:P341"/>
    <mergeCell ref="H342:I342"/>
    <mergeCell ref="O342:P342"/>
    <mergeCell ref="H337:I337"/>
    <mergeCell ref="O337:P337"/>
    <mergeCell ref="H338:I338"/>
    <mergeCell ref="O338:P338"/>
    <mergeCell ref="H339:I339"/>
    <mergeCell ref="O339:P339"/>
    <mergeCell ref="H333:I333"/>
    <mergeCell ref="O333:P333"/>
    <mergeCell ref="H334:I334"/>
    <mergeCell ref="O334:P334"/>
    <mergeCell ref="H335:I335"/>
    <mergeCell ref="H336:I336"/>
    <mergeCell ref="H330:I330"/>
    <mergeCell ref="O330:P330"/>
    <mergeCell ref="H331:I331"/>
    <mergeCell ref="O331:P331"/>
    <mergeCell ref="H332:I332"/>
    <mergeCell ref="O332:P332"/>
    <mergeCell ref="H327:I327"/>
    <mergeCell ref="O327:P327"/>
    <mergeCell ref="H328:I328"/>
    <mergeCell ref="O328:P328"/>
    <mergeCell ref="H329:I329"/>
    <mergeCell ref="O329:P329"/>
    <mergeCell ref="O323:P323"/>
    <mergeCell ref="O324:P324"/>
    <mergeCell ref="O325:P325"/>
    <mergeCell ref="O326:P326"/>
    <mergeCell ref="B303:J303"/>
    <mergeCell ref="B306:J306"/>
    <mergeCell ref="B309:P309"/>
    <mergeCell ref="O310:P310"/>
    <mergeCell ref="O320:P320"/>
    <mergeCell ref="O321:P321"/>
    <mergeCell ref="O322:P322"/>
    <mergeCell ref="H296:I296"/>
    <mergeCell ref="O296:P296"/>
    <mergeCell ref="B297:J297"/>
    <mergeCell ref="O297:P297"/>
    <mergeCell ref="O298:P298"/>
    <mergeCell ref="B300:J300"/>
    <mergeCell ref="O312:P312"/>
    <mergeCell ref="O313:P313"/>
    <mergeCell ref="O314:P314"/>
    <mergeCell ref="O315:P315"/>
    <mergeCell ref="O316:P316"/>
    <mergeCell ref="O317:P317"/>
    <mergeCell ref="E320:I320"/>
    <mergeCell ref="E317:I317"/>
    <mergeCell ref="O264:P264"/>
    <mergeCell ref="O265:P265"/>
    <mergeCell ref="O266:P266"/>
    <mergeCell ref="O267:P267"/>
    <mergeCell ref="O268:P268"/>
    <mergeCell ref="O269:P269"/>
    <mergeCell ref="O258:P258"/>
    <mergeCell ref="O259:P259"/>
    <mergeCell ref="O260:P260"/>
    <mergeCell ref="O261:P261"/>
    <mergeCell ref="O262:P262"/>
    <mergeCell ref="O263:P263"/>
    <mergeCell ref="O252:P252"/>
    <mergeCell ref="O253:P253"/>
    <mergeCell ref="O254:P254"/>
    <mergeCell ref="O255:P255"/>
    <mergeCell ref="O256:P256"/>
    <mergeCell ref="O257:P257"/>
    <mergeCell ref="O242:P242"/>
    <mergeCell ref="O243:P243"/>
    <mergeCell ref="O244:P244"/>
    <mergeCell ref="O245:P245"/>
    <mergeCell ref="O246:P246"/>
    <mergeCell ref="O247:P247"/>
    <mergeCell ref="O216:P216"/>
    <mergeCell ref="O217:P217"/>
    <mergeCell ref="A239:P239"/>
    <mergeCell ref="B240:L240"/>
    <mergeCell ref="O240:P240"/>
    <mergeCell ref="B241:J241"/>
    <mergeCell ref="O241:P241"/>
    <mergeCell ref="O210:P210"/>
    <mergeCell ref="O211:P211"/>
    <mergeCell ref="O212:P212"/>
    <mergeCell ref="O213:P213"/>
    <mergeCell ref="O214:P214"/>
    <mergeCell ref="O215:P215"/>
    <mergeCell ref="O204:P204"/>
    <mergeCell ref="O205:P205"/>
    <mergeCell ref="O206:P206"/>
    <mergeCell ref="O207:P207"/>
    <mergeCell ref="O208:P208"/>
    <mergeCell ref="O209:P209"/>
    <mergeCell ref="O198:P198"/>
    <mergeCell ref="O199:P199"/>
    <mergeCell ref="O200:P200"/>
    <mergeCell ref="O201:P201"/>
    <mergeCell ref="O202:P202"/>
    <mergeCell ref="O203:P203"/>
    <mergeCell ref="O192:P192"/>
    <mergeCell ref="O193:P193"/>
    <mergeCell ref="O194:P194"/>
    <mergeCell ref="O195:P195"/>
    <mergeCell ref="O196:P196"/>
    <mergeCell ref="O197:P197"/>
    <mergeCell ref="O182:P182"/>
    <mergeCell ref="O183:P183"/>
    <mergeCell ref="O184:P184"/>
    <mergeCell ref="O185:P185"/>
    <mergeCell ref="O186:P186"/>
    <mergeCell ref="O187:P187"/>
    <mergeCell ref="B163:L163"/>
    <mergeCell ref="O167:P167"/>
    <mergeCell ref="A179:P179"/>
    <mergeCell ref="B180:L180"/>
    <mergeCell ref="O180:P180"/>
    <mergeCell ref="B181:J181"/>
    <mergeCell ref="O181:P181"/>
    <mergeCell ref="O156:P156"/>
    <mergeCell ref="O157:P157"/>
    <mergeCell ref="O158:P158"/>
    <mergeCell ref="O159:P159"/>
    <mergeCell ref="O160:P160"/>
    <mergeCell ref="O161:P161"/>
    <mergeCell ref="O150:P150"/>
    <mergeCell ref="O151:P151"/>
    <mergeCell ref="O152:P152"/>
    <mergeCell ref="O153:P153"/>
    <mergeCell ref="O154:P154"/>
    <mergeCell ref="O155:P155"/>
    <mergeCell ref="O141:P141"/>
    <mergeCell ref="O142:P142"/>
    <mergeCell ref="O143:P143"/>
    <mergeCell ref="O144:P144"/>
    <mergeCell ref="O145:P145"/>
    <mergeCell ref="O147:P147"/>
    <mergeCell ref="O135:P135"/>
    <mergeCell ref="O136:P136"/>
    <mergeCell ref="O137:P137"/>
    <mergeCell ref="O138:P138"/>
    <mergeCell ref="O139:P139"/>
    <mergeCell ref="O140:P140"/>
    <mergeCell ref="O129:P129"/>
    <mergeCell ref="O130:P130"/>
    <mergeCell ref="O131:P131"/>
    <mergeCell ref="O132:P132"/>
    <mergeCell ref="O133:P133"/>
    <mergeCell ref="O134:P134"/>
    <mergeCell ref="O123:P123"/>
    <mergeCell ref="O124:P124"/>
    <mergeCell ref="O125:P125"/>
    <mergeCell ref="O126:P126"/>
    <mergeCell ref="O127:P127"/>
    <mergeCell ref="O128:P128"/>
    <mergeCell ref="A119:P119"/>
    <mergeCell ref="B120:L120"/>
    <mergeCell ref="O120:P120"/>
    <mergeCell ref="B121:J121"/>
    <mergeCell ref="O121:P121"/>
    <mergeCell ref="O122:P122"/>
    <mergeCell ref="O97:P97"/>
    <mergeCell ref="O98:P98"/>
    <mergeCell ref="O99:P99"/>
    <mergeCell ref="O100:P100"/>
    <mergeCell ref="O101:P101"/>
    <mergeCell ref="O102:P102"/>
    <mergeCell ref="O91:P91"/>
    <mergeCell ref="O92:P92"/>
    <mergeCell ref="O93:P93"/>
    <mergeCell ref="O94:P94"/>
    <mergeCell ref="O95:P95"/>
    <mergeCell ref="O96:P96"/>
    <mergeCell ref="O81:P81"/>
    <mergeCell ref="O82:P82"/>
    <mergeCell ref="O83:P83"/>
    <mergeCell ref="O84:P84"/>
    <mergeCell ref="O85:P85"/>
    <mergeCell ref="O86:P86"/>
    <mergeCell ref="O76:P76"/>
    <mergeCell ref="B77:L77"/>
    <mergeCell ref="O77:P77"/>
    <mergeCell ref="O78:P78"/>
    <mergeCell ref="O79:P79"/>
    <mergeCell ref="O80:P80"/>
    <mergeCell ref="O70:P70"/>
    <mergeCell ref="O71:P71"/>
    <mergeCell ref="O72:P72"/>
    <mergeCell ref="O73:P73"/>
    <mergeCell ref="O74:P74"/>
    <mergeCell ref="O75:P75"/>
    <mergeCell ref="O63:P63"/>
    <mergeCell ref="O64:P64"/>
    <mergeCell ref="O65:P65"/>
    <mergeCell ref="O66:P66"/>
    <mergeCell ref="O67:P67"/>
    <mergeCell ref="O68:P68"/>
    <mergeCell ref="A59:P59"/>
    <mergeCell ref="B60:L60"/>
    <mergeCell ref="O60:P60"/>
    <mergeCell ref="B61:J61"/>
    <mergeCell ref="O61:P61"/>
    <mergeCell ref="O62:P62"/>
    <mergeCell ref="O35:P35"/>
    <mergeCell ref="O36:P36"/>
    <mergeCell ref="O37:P37"/>
    <mergeCell ref="O38:P38"/>
    <mergeCell ref="O39:P39"/>
    <mergeCell ref="O40:P40"/>
    <mergeCell ref="O29:P29"/>
    <mergeCell ref="O30:P30"/>
    <mergeCell ref="O31:P31"/>
    <mergeCell ref="O32:P32"/>
    <mergeCell ref="O33:P33"/>
    <mergeCell ref="O34:P34"/>
    <mergeCell ref="O23:P23"/>
    <mergeCell ref="O24:P24"/>
    <mergeCell ref="O25:P25"/>
    <mergeCell ref="O26:P26"/>
    <mergeCell ref="O27:P27"/>
    <mergeCell ref="O28:P28"/>
    <mergeCell ref="O17:P17"/>
    <mergeCell ref="O18:P18"/>
    <mergeCell ref="O19:P19"/>
    <mergeCell ref="O20:P20"/>
    <mergeCell ref="O21:P21"/>
    <mergeCell ref="O22:P22"/>
    <mergeCell ref="O11:P11"/>
    <mergeCell ref="O12:P12"/>
    <mergeCell ref="O13:P13"/>
    <mergeCell ref="O14:P14"/>
    <mergeCell ref="O15:P15"/>
    <mergeCell ref="O16:P16"/>
    <mergeCell ref="B6:L6"/>
    <mergeCell ref="O6:P6"/>
    <mergeCell ref="O7:P7"/>
    <mergeCell ref="O8:P8"/>
    <mergeCell ref="O9:P9"/>
    <mergeCell ref="O10:P10"/>
    <mergeCell ref="A3:F3"/>
    <mergeCell ref="A4:F4"/>
    <mergeCell ref="A5:F5"/>
  </mergeCells>
  <printOptions headings="0" gridLines="0"/>
  <pageMargins left="0.39370078740157477" right="0.39370078740157477" top="0.39370078740157477" bottom="0.39370078740157477" header="0.19685039370078738" footer="0.31496062992125984"/>
  <pageSetup paperSize="9" scale="27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2" manualBreakCount="2">
    <brk id="59" man="1" max="16383"/>
    <brk id="293" man="1" max="16383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topLeftCell="A4" zoomScale="100" workbookViewId="0">
      <selection activeCell="A17" activeCellId="0" sqref="A17:I17"/>
    </sheetView>
  </sheetViews>
  <sheetFormatPr defaultRowHeight="15"/>
  <cols>
    <col bestFit="1" customWidth="1" min="6" max="6" width="10"/>
  </cols>
  <sheetData>
    <row r="1" ht="18">
      <c r="A1" s="265" t="s">
        <v>242</v>
      </c>
      <c r="B1" s="265"/>
      <c r="C1" s="265"/>
      <c r="D1" s="265"/>
      <c r="E1" s="265"/>
      <c r="F1" s="265"/>
      <c r="G1" s="265"/>
      <c r="H1" s="265"/>
      <c r="I1" s="265"/>
    </row>
    <row r="3" ht="18">
      <c r="A3" s="265" t="s">
        <v>243</v>
      </c>
      <c r="B3" s="265"/>
      <c r="C3" s="265"/>
      <c r="D3" s="265"/>
      <c r="E3" s="265"/>
      <c r="F3" s="265"/>
      <c r="G3" s="265"/>
      <c r="H3" s="265"/>
      <c r="I3" s="265"/>
    </row>
    <row r="5" ht="18">
      <c r="A5" s="265" t="s">
        <v>244</v>
      </c>
      <c r="B5" s="265"/>
      <c r="C5" s="265"/>
      <c r="D5" s="265"/>
      <c r="E5" s="265"/>
      <c r="F5" s="265"/>
      <c r="G5" s="265"/>
      <c r="H5" s="265"/>
      <c r="I5" s="265"/>
    </row>
    <row r="6" ht="15.75">
      <c r="A6" s="266" t="s">
        <v>245</v>
      </c>
      <c r="B6" s="266"/>
      <c r="C6" s="266"/>
      <c r="D6" s="266"/>
      <c r="E6" s="266"/>
      <c r="F6" s="266"/>
      <c r="G6" s="266"/>
      <c r="H6" s="266"/>
      <c r="I6" s="266"/>
    </row>
    <row r="8">
      <c r="A8" s="267" t="s">
        <v>246</v>
      </c>
      <c r="B8" s="267"/>
      <c r="C8" s="267"/>
      <c r="D8" s="267"/>
      <c r="F8" s="268" t="s">
        <v>247</v>
      </c>
      <c r="G8" s="268"/>
      <c r="H8" s="268"/>
    </row>
    <row r="9" ht="66.75" customHeight="1">
      <c r="F9" s="269" t="s">
        <v>248</v>
      </c>
      <c r="G9" s="269"/>
      <c r="H9" s="269"/>
      <c r="I9" s="269"/>
    </row>
    <row r="11" ht="15.75">
      <c r="A11" s="270" t="s">
        <v>249</v>
      </c>
      <c r="B11" s="271" t="s">
        <v>250</v>
      </c>
      <c r="F11" s="272" t="s">
        <v>251</v>
      </c>
      <c r="G11" s="273"/>
      <c r="H11" s="273"/>
    </row>
    <row r="12" ht="63" customHeight="1">
      <c r="A12" s="270" t="s">
        <v>252</v>
      </c>
      <c r="B12" s="269" t="s">
        <v>253</v>
      </c>
      <c r="C12" s="269"/>
      <c r="D12" s="269"/>
    </row>
    <row r="14" ht="15.75">
      <c r="A14" s="271" t="s">
        <v>254</v>
      </c>
    </row>
    <row r="15" ht="15.75">
      <c r="A15" s="274" t="s">
        <v>255</v>
      </c>
    </row>
    <row r="17" ht="53.25" customHeight="1">
      <c r="A17" s="275" t="s">
        <v>256</v>
      </c>
      <c r="B17" s="275"/>
      <c r="C17" s="275"/>
      <c r="D17" s="275"/>
      <c r="E17" s="275"/>
      <c r="F17" s="275"/>
      <c r="G17" s="275"/>
      <c r="H17" s="275"/>
      <c r="I17" s="275"/>
    </row>
    <row r="19" ht="15.75">
      <c r="A19" s="276" t="s">
        <v>257</v>
      </c>
      <c r="B19" s="276"/>
      <c r="C19" s="276"/>
      <c r="D19" s="276"/>
      <c r="E19" s="276"/>
      <c r="F19" s="276"/>
      <c r="G19" s="276"/>
      <c r="H19" s="276"/>
      <c r="I19" s="276"/>
    </row>
    <row r="20" ht="15.75">
      <c r="A20" s="276" t="s">
        <v>258</v>
      </c>
      <c r="B20" s="276"/>
      <c r="C20" s="276"/>
      <c r="D20" s="276"/>
      <c r="E20" s="276"/>
      <c r="F20" s="276"/>
      <c r="G20" s="276"/>
      <c r="H20" s="276"/>
      <c r="I20" s="276"/>
    </row>
    <row r="21" ht="15.75">
      <c r="A21" s="276" t="s">
        <v>259</v>
      </c>
      <c r="B21" s="276"/>
      <c r="C21" s="276"/>
      <c r="D21" s="276"/>
      <c r="E21" s="276"/>
      <c r="F21" s="276"/>
      <c r="G21" s="276"/>
      <c r="H21" s="276"/>
      <c r="I21" s="276"/>
    </row>
    <row r="22" ht="15.75">
      <c r="A22" s="276" t="s">
        <v>260</v>
      </c>
      <c r="B22" s="276"/>
      <c r="C22" s="276"/>
      <c r="D22" s="276"/>
      <c r="E22" s="276"/>
      <c r="F22" s="276"/>
      <c r="G22" s="276"/>
      <c r="H22" s="276"/>
      <c r="I22" s="276"/>
    </row>
    <row r="23" ht="15.75">
      <c r="A23" s="276" t="s">
        <v>261</v>
      </c>
      <c r="B23" s="276"/>
      <c r="C23" s="276"/>
      <c r="D23" s="276"/>
      <c r="E23" s="276"/>
      <c r="F23" s="276"/>
      <c r="G23" s="276"/>
      <c r="H23" s="276"/>
      <c r="I23" s="276"/>
    </row>
    <row r="24" ht="15.75">
      <c r="A24" s="276" t="s">
        <v>262</v>
      </c>
      <c r="B24" s="276"/>
      <c r="C24" s="276"/>
      <c r="D24" s="276"/>
      <c r="E24" s="276"/>
      <c r="F24" s="276"/>
      <c r="G24" s="276"/>
      <c r="H24" s="276"/>
      <c r="I24" s="276"/>
    </row>
    <row r="25" ht="15.75">
      <c r="A25" s="277" t="s">
        <v>263</v>
      </c>
      <c r="B25" s="277"/>
      <c r="C25" s="277"/>
      <c r="D25" s="277"/>
      <c r="E25" s="277"/>
      <c r="F25" s="277"/>
      <c r="G25" s="277"/>
      <c r="H25" s="277"/>
      <c r="I25" s="277"/>
    </row>
    <row r="32" ht="15.75">
      <c r="A32" s="278" t="s">
        <v>264</v>
      </c>
      <c r="B32" s="278"/>
      <c r="C32" s="278"/>
      <c r="D32" s="278"/>
      <c r="E32" s="278"/>
      <c r="F32" s="278" t="s">
        <v>265</v>
      </c>
      <c r="G32" s="278"/>
      <c r="I32" s="278"/>
    </row>
    <row r="33" ht="15.75">
      <c r="A33" s="278"/>
      <c r="B33" s="278"/>
      <c r="C33" s="278"/>
      <c r="D33" s="278"/>
      <c r="E33" s="278"/>
      <c r="F33" s="278"/>
      <c r="G33" s="278"/>
      <c r="H33" s="278"/>
      <c r="I33" s="278"/>
    </row>
    <row r="34" ht="15.75">
      <c r="A34" s="278"/>
      <c r="B34" s="278"/>
      <c r="C34" s="278"/>
      <c r="D34" s="278"/>
      <c r="E34" s="278"/>
      <c r="F34" s="278"/>
      <c r="G34" s="278"/>
      <c r="H34" s="278"/>
      <c r="I34" s="278"/>
    </row>
    <row r="35" ht="15.75">
      <c r="A35" s="279"/>
      <c r="B35" s="279"/>
      <c r="C35" s="279"/>
      <c r="D35" s="279"/>
      <c r="E35" s="278"/>
      <c r="F35" s="280"/>
      <c r="G35" s="280"/>
      <c r="H35" s="280"/>
      <c r="I35" s="280"/>
    </row>
    <row r="36" ht="15.75">
      <c r="A36" s="278" t="s">
        <v>266</v>
      </c>
      <c r="B36" s="278"/>
      <c r="C36" s="278"/>
      <c r="E36" s="278"/>
      <c r="F36" s="278" t="s">
        <v>267</v>
      </c>
      <c r="G36" s="278"/>
      <c r="H36" s="278"/>
      <c r="I36" s="278"/>
    </row>
    <row r="37" ht="15.75">
      <c r="A37" s="278" t="s">
        <v>268</v>
      </c>
      <c r="B37" s="278"/>
      <c r="C37" s="278"/>
      <c r="D37" s="278"/>
      <c r="E37" s="278"/>
      <c r="F37" s="278" t="s">
        <v>268</v>
      </c>
      <c r="G37" s="278"/>
      <c r="H37" s="278"/>
      <c r="I37" s="278"/>
    </row>
    <row r="38" ht="15.75">
      <c r="A38" s="278" t="s">
        <v>269</v>
      </c>
      <c r="B38" s="278"/>
      <c r="C38" s="278"/>
      <c r="D38" s="278"/>
      <c r="E38" s="278"/>
      <c r="F38" s="278" t="s">
        <v>269</v>
      </c>
      <c r="G38" s="278"/>
      <c r="H38" s="278"/>
      <c r="I38" s="278"/>
    </row>
    <row r="39" ht="15.75">
      <c r="A39" s="278"/>
      <c r="B39" s="278"/>
      <c r="C39" s="278"/>
      <c r="D39" s="278"/>
      <c r="E39" s="278"/>
      <c r="F39" s="278"/>
      <c r="G39" s="278"/>
      <c r="H39" s="278"/>
      <c r="I39" s="278"/>
    </row>
  </sheetData>
  <mergeCells count="17">
    <mergeCell ref="A25:I25"/>
    <mergeCell ref="A17:I17"/>
    <mergeCell ref="B12:D12"/>
    <mergeCell ref="F11:H11"/>
    <mergeCell ref="F9:I9"/>
    <mergeCell ref="A19:I19"/>
    <mergeCell ref="A20:I20"/>
    <mergeCell ref="A21:I21"/>
    <mergeCell ref="A22:I22"/>
    <mergeCell ref="A23:I23"/>
    <mergeCell ref="A24:I24"/>
    <mergeCell ref="A1:I1"/>
    <mergeCell ref="A3:I3"/>
    <mergeCell ref="A5:I5"/>
    <mergeCell ref="A6:I6"/>
    <mergeCell ref="A8:D8"/>
    <mergeCell ref="F8:H8"/>
  </mergeCells>
  <printOptions headings="0" gridLines="0" horizontalCentered="1"/>
  <pageMargins left="0" right="0" top="0" bottom="0" header="0.31496062992126" footer="0.3149606299212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topLeftCell="A8" zoomScale="80" workbookViewId="0">
      <selection activeCell="R42" activeCellId="0" sqref="R42"/>
    </sheetView>
  </sheetViews>
  <sheetFormatPr defaultColWidth="9.140625" defaultRowHeight="15"/>
  <cols>
    <col customWidth="1" min="1" max="1" width="11.7109375"/>
    <col customWidth="1" min="2" max="2" width="9.140625"/>
  </cols>
  <sheetData>
    <row r="1" ht="28.350000000000001" customHeight="1">
      <c r="A1" s="281" t="s">
        <v>1</v>
      </c>
      <c r="B1" s="282" t="str">
        <f>BQ!A3</f>
        <v xml:space="preserve">MPS.039608 &amp; MPS.039609</v>
      </c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</row>
    <row r="2" ht="28.350000000000001" customHeight="1">
      <c r="A2" s="284" t="s">
        <v>270</v>
      </c>
      <c r="B2" s="285" t="str">
        <f>BQ!E3</f>
        <v xml:space="preserve">JALAN SG 6/14 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</row>
    <row r="3" ht="28.350000000000001" customHeight="1">
      <c r="A3" s="287" t="s">
        <v>271</v>
      </c>
      <c r="B3" s="288" t="s">
        <v>272</v>
      </c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</row>
    <row r="4" ht="15.75">
      <c r="D4" s="290" t="str">
        <f>B2</f>
        <v xml:space="preserve">JALAN SG 6/14 </v>
      </c>
      <c r="E4" s="291"/>
      <c r="F4" s="291"/>
      <c r="G4" s="291"/>
      <c r="H4" s="291"/>
      <c r="I4" s="292"/>
    </row>
    <row r="5" ht="15.75"/>
    <row r="6" ht="15.75">
      <c r="A6" s="293"/>
      <c r="B6" s="294"/>
      <c r="C6" s="294"/>
      <c r="D6" s="294"/>
      <c r="E6" s="294"/>
      <c r="F6" s="295"/>
      <c r="G6" s="294"/>
      <c r="H6" s="294"/>
      <c r="I6" s="294"/>
      <c r="J6" s="294"/>
      <c r="K6" s="294"/>
      <c r="L6" s="294"/>
      <c r="M6" s="295"/>
    </row>
    <row r="7">
      <c r="A7" s="296"/>
      <c r="B7" s="297"/>
      <c r="C7" s="297"/>
      <c r="D7" s="297"/>
      <c r="E7" s="297"/>
      <c r="F7" s="298"/>
      <c r="G7" s="297"/>
      <c r="H7" s="297"/>
      <c r="I7" s="297"/>
      <c r="J7" s="297"/>
      <c r="K7" s="297"/>
      <c r="L7" s="297"/>
      <c r="M7" s="298"/>
    </row>
    <row r="8">
      <c r="A8" s="296"/>
      <c r="B8" s="297"/>
      <c r="C8" s="297"/>
      <c r="D8" s="297"/>
      <c r="E8" s="297"/>
      <c r="F8" s="298"/>
      <c r="G8" s="297"/>
      <c r="H8" s="297"/>
      <c r="I8" s="297"/>
      <c r="J8" s="297"/>
      <c r="K8" s="297"/>
      <c r="L8" s="297"/>
      <c r="M8" s="298"/>
    </row>
    <row r="9">
      <c r="A9" s="296"/>
      <c r="B9" s="297"/>
      <c r="C9" s="297"/>
      <c r="D9" s="297"/>
      <c r="E9" s="297"/>
      <c r="F9" s="298"/>
      <c r="G9" s="297"/>
      <c r="H9" s="297"/>
      <c r="I9" s="297"/>
      <c r="J9" s="297"/>
      <c r="K9" s="297"/>
      <c r="L9" s="297"/>
      <c r="M9" s="298"/>
    </row>
    <row r="10">
      <c r="A10" s="296"/>
      <c r="B10" s="297"/>
      <c r="C10" s="297"/>
      <c r="D10" s="297"/>
      <c r="E10" s="297"/>
      <c r="F10" s="298"/>
      <c r="G10" s="297"/>
      <c r="H10" s="297"/>
      <c r="I10" s="297"/>
      <c r="J10" s="297"/>
      <c r="K10" s="297"/>
      <c r="L10" s="297"/>
      <c r="M10" s="298"/>
    </row>
    <row r="11">
      <c r="A11" s="296"/>
      <c r="B11" s="297"/>
      <c r="C11" s="297"/>
      <c r="D11" s="297"/>
      <c r="E11" s="297"/>
      <c r="F11" s="298"/>
      <c r="G11" s="297"/>
      <c r="H11" s="297"/>
      <c r="I11" s="297"/>
      <c r="J11" s="297"/>
      <c r="K11" s="297"/>
      <c r="L11" s="297"/>
      <c r="M11" s="298"/>
    </row>
    <row r="12">
      <c r="A12" s="296"/>
      <c r="B12" s="297"/>
      <c r="C12" s="297"/>
      <c r="D12" s="297"/>
      <c r="E12" s="297"/>
      <c r="F12" s="298"/>
      <c r="G12" s="297"/>
      <c r="H12" s="297"/>
      <c r="I12" s="297"/>
      <c r="J12" s="297"/>
      <c r="K12" s="297"/>
      <c r="L12" s="297"/>
      <c r="M12" s="298"/>
    </row>
    <row r="13">
      <c r="A13" s="296"/>
      <c r="B13" s="297"/>
      <c r="C13" s="297"/>
      <c r="D13" s="297"/>
      <c r="E13" s="297"/>
      <c r="F13" s="298"/>
      <c r="G13" s="297"/>
      <c r="H13" s="297"/>
      <c r="I13" s="297"/>
      <c r="J13" s="297"/>
      <c r="K13" s="297"/>
      <c r="L13" s="297"/>
      <c r="M13" s="298"/>
    </row>
    <row r="14">
      <c r="A14" s="296"/>
      <c r="B14" s="297"/>
      <c r="C14" s="297"/>
      <c r="D14" s="297"/>
      <c r="E14" s="297"/>
      <c r="F14" s="298"/>
      <c r="G14" s="297"/>
      <c r="H14" s="297"/>
      <c r="I14" s="297"/>
      <c r="J14" s="297"/>
      <c r="K14" s="297"/>
      <c r="L14" s="297"/>
      <c r="M14" s="298"/>
    </row>
    <row r="15">
      <c r="A15" s="296"/>
      <c r="B15" s="297"/>
      <c r="C15" s="297"/>
      <c r="D15" s="297"/>
      <c r="E15" s="297"/>
      <c r="F15" s="298"/>
      <c r="G15" s="297"/>
      <c r="H15" s="297"/>
      <c r="I15" s="297"/>
      <c r="J15" s="297"/>
      <c r="K15" s="297"/>
      <c r="L15" s="297"/>
      <c r="M15" s="298"/>
    </row>
    <row r="16">
      <c r="A16" s="296"/>
      <c r="B16" s="297"/>
      <c r="C16" s="297"/>
      <c r="D16" s="297"/>
      <c r="E16" s="297"/>
      <c r="F16" s="298"/>
      <c r="G16" s="297"/>
      <c r="H16" s="297"/>
      <c r="I16" s="297"/>
      <c r="J16" s="297"/>
      <c r="K16" s="297"/>
      <c r="L16" s="297"/>
      <c r="M16" s="298"/>
    </row>
    <row r="17">
      <c r="A17" s="296"/>
      <c r="B17" s="297"/>
      <c r="C17" s="297"/>
      <c r="D17" s="297"/>
      <c r="E17" s="297"/>
      <c r="F17" s="298"/>
      <c r="G17" s="297"/>
      <c r="H17" s="297"/>
      <c r="I17" s="297"/>
      <c r="J17" s="297"/>
      <c r="K17" s="297"/>
      <c r="L17" s="297"/>
      <c r="M17" s="298"/>
    </row>
    <row r="18">
      <c r="A18" s="296"/>
      <c r="B18" s="297"/>
      <c r="C18" s="297"/>
      <c r="D18" s="297"/>
      <c r="E18" s="297"/>
      <c r="F18" s="298"/>
      <c r="G18" s="297"/>
      <c r="H18" s="297"/>
      <c r="I18" s="297"/>
      <c r="J18" s="297"/>
      <c r="K18" s="297"/>
      <c r="L18" s="297"/>
      <c r="M18" s="298"/>
    </row>
    <row r="19">
      <c r="A19" s="296"/>
      <c r="B19" s="297"/>
      <c r="C19" s="297"/>
      <c r="D19" s="297"/>
      <c r="E19" s="297"/>
      <c r="F19" s="298"/>
      <c r="G19" s="297"/>
      <c r="H19" s="297"/>
      <c r="I19" s="297"/>
      <c r="J19" s="297"/>
      <c r="K19" s="297"/>
      <c r="L19" s="297"/>
      <c r="M19" s="298"/>
    </row>
    <row r="20">
      <c r="A20" s="296"/>
      <c r="B20" s="297"/>
      <c r="C20" s="297"/>
      <c r="D20" s="297"/>
      <c r="E20" s="297"/>
      <c r="F20" s="298"/>
      <c r="G20" s="297"/>
      <c r="H20" s="297"/>
      <c r="I20" s="297"/>
      <c r="J20" s="297"/>
      <c r="K20" s="297"/>
      <c r="L20" s="297"/>
      <c r="M20" s="298"/>
    </row>
    <row r="21">
      <c r="A21" s="296"/>
      <c r="B21" s="297"/>
      <c r="C21" s="297"/>
      <c r="D21" s="297"/>
      <c r="E21" s="297"/>
      <c r="F21" s="298"/>
      <c r="G21" s="297"/>
      <c r="H21" s="297"/>
      <c r="I21" s="297"/>
      <c r="J21" s="297"/>
      <c r="K21" s="297"/>
      <c r="L21" s="297"/>
      <c r="M21" s="298"/>
    </row>
    <row r="22">
      <c r="A22" s="296"/>
      <c r="B22" s="297"/>
      <c r="C22" s="297"/>
      <c r="D22" s="297"/>
      <c r="E22" s="297"/>
      <c r="F22" s="298"/>
      <c r="G22" s="297"/>
      <c r="H22" s="297"/>
      <c r="I22" s="297"/>
      <c r="J22" s="297"/>
      <c r="K22" s="297"/>
      <c r="L22" s="297"/>
      <c r="M22" s="298"/>
    </row>
    <row r="23">
      <c r="A23" s="296"/>
      <c r="B23" s="297"/>
      <c r="C23" s="297"/>
      <c r="D23" s="297"/>
      <c r="E23" s="297"/>
      <c r="F23" s="298"/>
      <c r="G23" s="297"/>
      <c r="H23" s="297"/>
      <c r="I23" s="297"/>
      <c r="J23" s="297"/>
      <c r="K23" s="297"/>
      <c r="L23" s="297"/>
      <c r="M23" s="298"/>
    </row>
    <row r="24">
      <c r="A24" s="296"/>
      <c r="B24" s="297"/>
      <c r="C24" s="297"/>
      <c r="D24" s="297"/>
      <c r="E24" s="297"/>
      <c r="F24" s="298"/>
      <c r="G24" s="297"/>
      <c r="H24" s="297"/>
      <c r="I24" s="297"/>
      <c r="J24" s="297"/>
      <c r="K24" s="297"/>
      <c r="L24" s="297"/>
      <c r="M24" s="298"/>
    </row>
    <row r="25">
      <c r="A25" s="296"/>
      <c r="B25" s="297"/>
      <c r="C25" s="297"/>
      <c r="D25" s="297"/>
      <c r="E25" s="297"/>
      <c r="F25" s="298"/>
      <c r="G25" s="297"/>
      <c r="H25" s="297"/>
      <c r="I25" s="297"/>
      <c r="J25" s="297"/>
      <c r="K25" s="297"/>
      <c r="L25" s="297"/>
      <c r="M25" s="298"/>
    </row>
    <row r="26">
      <c r="A26" s="296"/>
      <c r="B26" s="297"/>
      <c r="C26" s="297"/>
      <c r="D26" s="297"/>
      <c r="E26" s="297"/>
      <c r="F26" s="298"/>
      <c r="G26" s="297"/>
      <c r="H26" s="297"/>
      <c r="I26" s="297"/>
      <c r="J26" s="297"/>
      <c r="K26" s="297"/>
      <c r="L26" s="297"/>
      <c r="M26" s="298"/>
    </row>
    <row r="27">
      <c r="A27" s="296"/>
      <c r="B27" s="297"/>
      <c r="C27" s="297"/>
      <c r="D27" s="297"/>
      <c r="E27" s="297"/>
      <c r="F27" s="298"/>
      <c r="G27" s="297"/>
      <c r="H27" s="297"/>
      <c r="I27" s="297"/>
      <c r="J27" s="297"/>
      <c r="K27" s="297"/>
      <c r="L27" s="297"/>
      <c r="M27" s="298"/>
    </row>
    <row r="28">
      <c r="A28" s="296"/>
      <c r="B28" s="297"/>
      <c r="C28" s="297"/>
      <c r="D28" s="297"/>
      <c r="E28" s="297"/>
      <c r="F28" s="298"/>
      <c r="G28" s="297"/>
      <c r="H28" s="297"/>
      <c r="I28" s="297"/>
      <c r="J28" s="297"/>
      <c r="K28" s="297"/>
      <c r="L28" s="297"/>
      <c r="M28" s="298"/>
    </row>
    <row r="29">
      <c r="A29" s="296"/>
      <c r="B29" s="297"/>
      <c r="C29" s="297"/>
      <c r="D29" s="297"/>
      <c r="E29" s="297"/>
      <c r="F29" s="298"/>
      <c r="G29" s="297"/>
      <c r="H29" s="297"/>
      <c r="I29" s="297"/>
      <c r="J29" s="297"/>
      <c r="K29" s="297"/>
      <c r="L29" s="297"/>
      <c r="M29" s="298"/>
    </row>
    <row r="30" ht="15.75">
      <c r="A30" s="299"/>
      <c r="B30" s="300"/>
      <c r="C30" s="300"/>
      <c r="D30" s="300"/>
      <c r="E30" s="300"/>
      <c r="F30" s="301"/>
      <c r="G30" s="300"/>
      <c r="H30" s="300"/>
      <c r="I30" s="300"/>
      <c r="J30" s="300"/>
      <c r="K30" s="300"/>
      <c r="L30" s="300"/>
      <c r="M30" s="301"/>
    </row>
    <row r="31" ht="16.5">
      <c r="A31" s="281" t="s">
        <v>1</v>
      </c>
      <c r="B31" s="282" t="str">
        <f>BQ!A4</f>
        <v>MPS.040584</v>
      </c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</row>
    <row r="32" ht="16.5">
      <c r="A32" s="284" t="s">
        <v>270</v>
      </c>
      <c r="B32" s="285" t="str">
        <f>BQ!E4</f>
        <v xml:space="preserve">JALAN 3 TAMAN GREENWOOD</v>
      </c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</row>
    <row r="33" ht="15.75">
      <c r="A33" s="287" t="s">
        <v>271</v>
      </c>
      <c r="B33" s="288" t="s">
        <v>272</v>
      </c>
      <c r="C33" s="289"/>
      <c r="D33" s="289"/>
      <c r="E33" s="289"/>
      <c r="F33" s="289"/>
      <c r="G33" s="289"/>
      <c r="H33" s="289"/>
      <c r="I33" s="289"/>
      <c r="J33" s="289"/>
      <c r="K33" s="289"/>
      <c r="L33" s="289"/>
      <c r="M33" s="289"/>
    </row>
    <row r="34" ht="15.75">
      <c r="D34" s="290" t="str">
        <f>B32</f>
        <v xml:space="preserve">JALAN 3 TAMAN GREENWOOD</v>
      </c>
      <c r="E34" s="291"/>
      <c r="F34" s="291"/>
      <c r="G34" s="291"/>
      <c r="H34" s="291"/>
      <c r="I34" s="292"/>
    </row>
    <row r="35" ht="15.75"/>
    <row r="36" ht="15.75">
      <c r="A36" s="293"/>
      <c r="B36" s="294"/>
      <c r="C36" s="294"/>
      <c r="D36" s="294"/>
      <c r="E36" s="294"/>
      <c r="F36" s="295"/>
      <c r="G36" s="294"/>
      <c r="H36" s="294"/>
      <c r="I36" s="294"/>
      <c r="J36" s="294"/>
      <c r="K36" s="294"/>
      <c r="L36" s="294"/>
      <c r="M36" s="295"/>
    </row>
    <row r="37">
      <c r="A37" s="296"/>
      <c r="B37" s="297"/>
      <c r="C37" s="297"/>
      <c r="D37" s="297"/>
      <c r="E37" s="297"/>
      <c r="F37" s="298"/>
      <c r="G37" s="297"/>
      <c r="H37" s="297"/>
      <c r="I37" s="297"/>
      <c r="J37" s="297"/>
      <c r="K37" s="297"/>
      <c r="L37" s="297"/>
      <c r="M37" s="298"/>
    </row>
    <row r="38">
      <c r="A38" s="296"/>
      <c r="B38" s="297"/>
      <c r="C38" s="297"/>
      <c r="D38" s="297"/>
      <c r="E38" s="297"/>
      <c r="F38" s="298"/>
      <c r="G38" s="297"/>
      <c r="H38" s="297"/>
      <c r="I38" s="297"/>
      <c r="J38" s="297"/>
      <c r="K38" s="297"/>
      <c r="L38" s="297"/>
      <c r="M38" s="298"/>
    </row>
    <row r="39">
      <c r="A39" s="296"/>
      <c r="B39" s="297"/>
      <c r="C39" s="297"/>
      <c r="D39" s="297"/>
      <c r="E39" s="297"/>
      <c r="F39" s="298"/>
      <c r="G39" s="297"/>
      <c r="H39" s="297"/>
      <c r="I39" s="297"/>
      <c r="J39" s="297"/>
      <c r="K39" s="297"/>
      <c r="L39" s="297"/>
      <c r="M39" s="298"/>
    </row>
    <row r="40">
      <c r="A40" s="296"/>
      <c r="B40" s="297"/>
      <c r="C40" s="297"/>
      <c r="D40" s="297"/>
      <c r="E40" s="297"/>
      <c r="F40" s="298"/>
      <c r="G40" s="297"/>
      <c r="H40" s="297"/>
      <c r="I40" s="297"/>
      <c r="J40" s="297"/>
      <c r="K40" s="297"/>
      <c r="L40" s="297"/>
      <c r="M40" s="298"/>
    </row>
    <row r="41">
      <c r="A41" s="296"/>
      <c r="B41" s="297"/>
      <c r="C41" s="297"/>
      <c r="D41" s="297"/>
      <c r="E41" s="297"/>
      <c r="F41" s="298"/>
      <c r="G41" s="297"/>
      <c r="H41" s="297"/>
      <c r="I41" s="297"/>
      <c r="J41" s="297"/>
      <c r="K41" s="297"/>
      <c r="L41" s="297"/>
      <c r="M41" s="298"/>
    </row>
    <row r="42">
      <c r="A42" s="296"/>
      <c r="B42" s="297"/>
      <c r="C42" s="297"/>
      <c r="D42" s="297"/>
      <c r="E42" s="297"/>
      <c r="F42" s="298"/>
      <c r="G42" s="297"/>
      <c r="H42" s="297"/>
      <c r="I42" s="297"/>
      <c r="J42" s="297"/>
      <c r="K42" s="297"/>
      <c r="L42" s="297"/>
      <c r="M42" s="298"/>
    </row>
    <row r="43">
      <c r="A43" s="296"/>
      <c r="B43" s="297"/>
      <c r="C43" s="297"/>
      <c r="D43" s="297"/>
      <c r="E43" s="297"/>
      <c r="F43" s="298"/>
      <c r="G43" s="297"/>
      <c r="H43" s="297"/>
      <c r="I43" s="297"/>
      <c r="J43" s="297"/>
      <c r="K43" s="297"/>
      <c r="L43" s="297"/>
      <c r="M43" s="298"/>
    </row>
    <row r="44">
      <c r="A44" s="296"/>
      <c r="B44" s="297"/>
      <c r="C44" s="297"/>
      <c r="D44" s="297"/>
      <c r="E44" s="297"/>
      <c r="F44" s="298"/>
      <c r="G44" s="297"/>
      <c r="H44" s="297"/>
      <c r="I44" s="297"/>
      <c r="J44" s="297"/>
      <c r="K44" s="297"/>
      <c r="L44" s="297"/>
      <c r="M44" s="298"/>
    </row>
    <row r="45">
      <c r="A45" s="296"/>
      <c r="B45" s="297"/>
      <c r="C45" s="297"/>
      <c r="D45" s="297"/>
      <c r="E45" s="297"/>
      <c r="F45" s="298"/>
      <c r="G45" s="297"/>
      <c r="H45" s="297"/>
      <c r="I45" s="297"/>
      <c r="J45" s="297"/>
      <c r="K45" s="297"/>
      <c r="L45" s="297"/>
      <c r="M45" s="298"/>
    </row>
    <row r="46">
      <c r="A46" s="296"/>
      <c r="B46" s="297"/>
      <c r="C46" s="297"/>
      <c r="D46" s="297"/>
      <c r="E46" s="297"/>
      <c r="F46" s="298"/>
      <c r="G46" s="297"/>
      <c r="H46" s="297"/>
      <c r="I46" s="297"/>
      <c r="J46" s="297"/>
      <c r="K46" s="297"/>
      <c r="L46" s="297"/>
      <c r="M46" s="298"/>
    </row>
    <row r="47">
      <c r="A47" s="296"/>
      <c r="B47" s="297"/>
      <c r="C47" s="297"/>
      <c r="D47" s="297"/>
      <c r="E47" s="297"/>
      <c r="F47" s="298"/>
      <c r="G47" s="297"/>
      <c r="H47" s="297"/>
      <c r="I47" s="297"/>
      <c r="J47" s="297"/>
      <c r="K47" s="297"/>
      <c r="L47" s="297"/>
      <c r="M47" s="298"/>
    </row>
    <row r="48">
      <c r="A48" s="296"/>
      <c r="B48" s="297"/>
      <c r="C48" s="297"/>
      <c r="D48" s="297"/>
      <c r="E48" s="297"/>
      <c r="F48" s="298"/>
      <c r="G48" s="297"/>
      <c r="H48" s="297"/>
      <c r="I48" s="297"/>
      <c r="J48" s="297"/>
      <c r="K48" s="297"/>
      <c r="L48" s="297"/>
      <c r="M48" s="298"/>
    </row>
    <row r="49">
      <c r="A49" s="296"/>
      <c r="B49" s="297"/>
      <c r="C49" s="297"/>
      <c r="D49" s="297"/>
      <c r="E49" s="297"/>
      <c r="F49" s="298"/>
      <c r="G49" s="297"/>
      <c r="H49" s="297"/>
      <c r="I49" s="297"/>
      <c r="J49" s="297"/>
      <c r="K49" s="297"/>
      <c r="L49" s="297"/>
      <c r="M49" s="298"/>
    </row>
    <row r="50">
      <c r="A50" s="296"/>
      <c r="B50" s="297"/>
      <c r="C50" s="297"/>
      <c r="D50" s="297"/>
      <c r="E50" s="297"/>
      <c r="F50" s="298"/>
      <c r="G50" s="297"/>
      <c r="H50" s="297"/>
      <c r="I50" s="297"/>
      <c r="J50" s="297"/>
      <c r="K50" s="297"/>
      <c r="L50" s="297"/>
      <c r="M50" s="298"/>
    </row>
    <row r="51">
      <c r="A51" s="296"/>
      <c r="B51" s="297"/>
      <c r="C51" s="297"/>
      <c r="D51" s="297"/>
      <c r="E51" s="297"/>
      <c r="F51" s="298"/>
      <c r="G51" s="297"/>
      <c r="H51" s="297"/>
      <c r="I51" s="297"/>
      <c r="J51" s="297"/>
      <c r="K51" s="297"/>
      <c r="L51" s="297"/>
      <c r="M51" s="298"/>
    </row>
    <row r="52">
      <c r="A52" s="296"/>
      <c r="B52" s="297"/>
      <c r="C52" s="297"/>
      <c r="D52" s="297"/>
      <c r="E52" s="297"/>
      <c r="F52" s="298"/>
      <c r="G52" s="297"/>
      <c r="H52" s="297"/>
      <c r="I52" s="297"/>
      <c r="J52" s="297"/>
      <c r="K52" s="297"/>
      <c r="L52" s="297"/>
      <c r="M52" s="298"/>
    </row>
    <row r="53">
      <c r="A53" s="296"/>
      <c r="B53" s="297"/>
      <c r="C53" s="297"/>
      <c r="D53" s="297"/>
      <c r="E53" s="297"/>
      <c r="F53" s="298"/>
      <c r="G53" s="297"/>
      <c r="H53" s="297"/>
      <c r="I53" s="297"/>
      <c r="J53" s="297"/>
      <c r="K53" s="297"/>
      <c r="L53" s="297"/>
      <c r="M53" s="298"/>
    </row>
    <row r="54">
      <c r="A54" s="296"/>
      <c r="B54" s="297"/>
      <c r="C54" s="297"/>
      <c r="D54" s="297"/>
      <c r="E54" s="297"/>
      <c r="F54" s="298"/>
      <c r="G54" s="297"/>
      <c r="H54" s="297"/>
      <c r="I54" s="297"/>
      <c r="J54" s="297"/>
      <c r="K54" s="297"/>
      <c r="L54" s="297"/>
      <c r="M54" s="298"/>
    </row>
    <row r="55">
      <c r="A55" s="296"/>
      <c r="B55" s="297"/>
      <c r="C55" s="297"/>
      <c r="D55" s="297"/>
      <c r="E55" s="297"/>
      <c r="F55" s="298"/>
      <c r="G55" s="297"/>
      <c r="H55" s="297"/>
      <c r="I55" s="297"/>
      <c r="J55" s="297"/>
      <c r="K55" s="297"/>
      <c r="L55" s="297"/>
      <c r="M55" s="298"/>
    </row>
    <row r="56">
      <c r="A56" s="296"/>
      <c r="B56" s="297"/>
      <c r="C56" s="297"/>
      <c r="D56" s="297"/>
      <c r="E56" s="297"/>
      <c r="F56" s="298"/>
      <c r="G56" s="297"/>
      <c r="H56" s="297"/>
      <c r="I56" s="297"/>
      <c r="J56" s="297"/>
      <c r="K56" s="297"/>
      <c r="L56" s="297"/>
      <c r="M56" s="298"/>
    </row>
    <row r="57">
      <c r="A57" s="296"/>
      <c r="B57" s="297"/>
      <c r="C57" s="297"/>
      <c r="D57" s="297"/>
      <c r="E57" s="297"/>
      <c r="F57" s="298"/>
      <c r="G57" s="297"/>
      <c r="H57" s="297"/>
      <c r="I57" s="297"/>
      <c r="J57" s="297"/>
      <c r="K57" s="297"/>
      <c r="L57" s="297"/>
      <c r="M57" s="298"/>
    </row>
    <row r="58">
      <c r="A58" s="296"/>
      <c r="B58" s="297"/>
      <c r="C58" s="297"/>
      <c r="D58" s="297"/>
      <c r="E58" s="297"/>
      <c r="F58" s="298"/>
      <c r="G58" s="297"/>
      <c r="H58" s="297"/>
      <c r="I58" s="297"/>
      <c r="J58" s="297"/>
      <c r="K58" s="297"/>
      <c r="L58" s="297"/>
      <c r="M58" s="298"/>
    </row>
    <row r="59">
      <c r="A59" s="296"/>
      <c r="B59" s="297"/>
      <c r="C59" s="297"/>
      <c r="D59" s="297"/>
      <c r="E59" s="297"/>
      <c r="F59" s="298"/>
      <c r="G59" s="297"/>
      <c r="H59" s="297"/>
      <c r="I59" s="297"/>
      <c r="J59" s="297"/>
      <c r="K59" s="297"/>
      <c r="L59" s="297"/>
      <c r="M59" s="298"/>
    </row>
    <row r="60" ht="15.75">
      <c r="A60" s="299"/>
      <c r="B60" s="300"/>
      <c r="C60" s="300"/>
      <c r="D60" s="300"/>
      <c r="E60" s="300"/>
      <c r="F60" s="301"/>
      <c r="G60" s="300"/>
      <c r="H60" s="300"/>
      <c r="I60" s="300"/>
      <c r="J60" s="300"/>
      <c r="K60" s="300"/>
      <c r="L60" s="300"/>
      <c r="M60" s="301"/>
    </row>
    <row r="61" ht="15.75"/>
  </sheetData>
  <mergeCells count="8">
    <mergeCell ref="B32:M32"/>
    <mergeCell ref="B33:M33"/>
    <mergeCell ref="D34:I34"/>
    <mergeCell ref="B1:M1"/>
    <mergeCell ref="B2:M2"/>
    <mergeCell ref="B3:M3"/>
    <mergeCell ref="D4:I4"/>
    <mergeCell ref="B31:M31"/>
  </mergeCells>
  <printOptions headings="0" gridLines="0" horizontalCentered="1"/>
  <pageMargins left="0.70866141732283472" right="0.70866141732283472" top="0.74803149606299213" bottom="0.74803149606299213" header="0.31496062992125984" footer="0.31496062992125984"/>
  <pageSetup paperSize="9" scale="99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topLeftCell="A16" zoomScale="85" workbookViewId="0">
      <selection activeCell="C19" activeCellId="0" sqref="C19:I22"/>
    </sheetView>
  </sheetViews>
  <sheetFormatPr defaultRowHeight="14.25"/>
  <cols>
    <col min="1" max="1" style="302" width="9.140625"/>
    <col customWidth="1" min="2" max="2" style="302" width="10.7109375"/>
    <col min="3" max="5" style="302" width="9.140625"/>
    <col bestFit="1" customWidth="1" min="6" max="6" style="302" width="10"/>
    <col min="7" max="8" style="302" width="9.140625"/>
    <col customWidth="1" min="9" max="9" style="302" width="9.140625"/>
    <col min="10" max="16384" style="302" width="9.140625"/>
  </cols>
  <sheetData>
    <row r="1" ht="15.75">
      <c r="A1" s="303" t="s">
        <v>273</v>
      </c>
      <c r="B1" s="303"/>
      <c r="C1" s="303"/>
      <c r="D1" s="303"/>
      <c r="E1" s="303"/>
      <c r="F1" s="303"/>
      <c r="G1" s="303"/>
      <c r="H1" s="303"/>
      <c r="I1" s="303"/>
    </row>
    <row r="3" ht="15.75">
      <c r="A3" s="303" t="s">
        <v>243</v>
      </c>
      <c r="B3" s="303"/>
      <c r="C3" s="303"/>
      <c r="D3" s="303"/>
      <c r="E3" s="303"/>
      <c r="F3" s="303"/>
      <c r="G3" s="303"/>
      <c r="H3" s="303"/>
      <c r="I3" s="303"/>
    </row>
    <row r="4">
      <c r="A4" s="304" t="s">
        <v>274</v>
      </c>
      <c r="B4" s="304"/>
      <c r="C4" s="304"/>
      <c r="D4" s="304"/>
      <c r="E4" s="304"/>
      <c r="F4" s="304"/>
      <c r="G4" s="304"/>
      <c r="H4" s="304"/>
      <c r="I4" s="304"/>
    </row>
    <row r="5">
      <c r="A5" s="304" t="s">
        <v>275</v>
      </c>
      <c r="B5" s="304"/>
      <c r="C5" s="304"/>
      <c r="D5" s="304"/>
      <c r="E5" s="304"/>
      <c r="F5" s="304"/>
      <c r="G5" s="304"/>
      <c r="H5" s="304"/>
      <c r="I5" s="304"/>
    </row>
    <row r="6">
      <c r="A6" s="305" t="s">
        <v>276</v>
      </c>
      <c r="B6" s="305"/>
      <c r="C6" s="305"/>
      <c r="D6" s="305"/>
      <c r="E6" s="305"/>
      <c r="F6" s="305"/>
      <c r="G6" s="305"/>
      <c r="H6" s="305"/>
      <c r="I6" s="305"/>
    </row>
    <row r="7" ht="15">
      <c r="A7" s="306"/>
      <c r="B7" s="307"/>
      <c r="C7" s="307"/>
      <c r="D7" s="307"/>
      <c r="E7" s="307"/>
      <c r="F7" s="307"/>
      <c r="G7" s="307"/>
      <c r="H7" s="307"/>
      <c r="I7" s="307"/>
    </row>
    <row r="8" ht="15">
      <c r="A8" s="308" t="s">
        <v>277</v>
      </c>
      <c r="B8" s="307"/>
      <c r="C8" s="307"/>
      <c r="D8" s="307"/>
      <c r="E8" s="307"/>
      <c r="F8" s="307"/>
      <c r="G8" s="307"/>
      <c r="H8" s="307"/>
      <c r="I8" s="307"/>
    </row>
    <row r="9" ht="14.25" customHeight="1">
      <c r="F9" s="269"/>
      <c r="G9" s="269"/>
      <c r="H9" s="269"/>
      <c r="I9" s="269"/>
    </row>
    <row r="10" ht="14.25" customHeight="1">
      <c r="A10" s="309" t="s">
        <v>278</v>
      </c>
      <c r="B10" s="310"/>
      <c r="C10" s="311">
        <v>45839</v>
      </c>
      <c r="D10" s="312"/>
      <c r="E10" s="312"/>
      <c r="F10" s="312"/>
      <c r="G10" s="312"/>
      <c r="H10" s="312"/>
      <c r="I10" s="313"/>
    </row>
    <row r="11">
      <c r="A11" s="314"/>
      <c r="B11" s="315"/>
      <c r="C11" s="316"/>
      <c r="D11" s="317"/>
      <c r="E11" s="317"/>
      <c r="F11" s="317"/>
      <c r="G11" s="317"/>
      <c r="H11" s="317"/>
      <c r="I11" s="318"/>
    </row>
    <row r="12" ht="15" customHeight="1">
      <c r="A12" s="319" t="s">
        <v>279</v>
      </c>
      <c r="B12" s="320"/>
      <c r="C12" s="321" t="s">
        <v>280</v>
      </c>
      <c r="D12" s="321"/>
      <c r="E12" s="321"/>
      <c r="F12" s="321"/>
      <c r="G12" s="321"/>
      <c r="H12" s="321"/>
      <c r="I12" s="322"/>
    </row>
    <row r="13">
      <c r="A13" s="323"/>
      <c r="B13" s="324"/>
      <c r="C13" s="325" t="s">
        <v>281</v>
      </c>
      <c r="D13" s="325"/>
      <c r="E13" s="325"/>
      <c r="F13" s="325"/>
      <c r="G13" s="325"/>
      <c r="H13" s="325"/>
      <c r="I13" s="326"/>
    </row>
    <row r="14">
      <c r="A14" s="327"/>
      <c r="B14" s="324"/>
      <c r="C14" s="325" t="s">
        <v>282</v>
      </c>
      <c r="D14" s="325"/>
      <c r="E14" s="325"/>
      <c r="F14" s="325"/>
      <c r="G14" s="325"/>
      <c r="H14" s="325"/>
      <c r="I14" s="326"/>
    </row>
    <row r="15">
      <c r="A15" s="323"/>
      <c r="B15" s="324"/>
      <c r="C15" s="325" t="s">
        <v>283</v>
      </c>
      <c r="D15" s="325"/>
      <c r="E15" s="325"/>
      <c r="F15" s="325"/>
      <c r="G15" s="325"/>
      <c r="H15" s="325"/>
      <c r="I15" s="326"/>
    </row>
    <row r="16">
      <c r="A16" s="323"/>
      <c r="B16" s="324"/>
      <c r="C16" s="325"/>
      <c r="D16" s="325"/>
      <c r="E16" s="325"/>
      <c r="F16" s="325"/>
      <c r="G16" s="325"/>
      <c r="H16" s="325"/>
      <c r="I16" s="326"/>
    </row>
    <row r="17" ht="17.25" customHeight="1">
      <c r="A17" s="328" t="s">
        <v>284</v>
      </c>
      <c r="B17" s="329"/>
      <c r="C17" s="330" t="s">
        <v>285</v>
      </c>
      <c r="D17" s="330"/>
      <c r="E17" s="330"/>
      <c r="F17" s="330"/>
      <c r="G17" s="330"/>
      <c r="H17" s="330"/>
      <c r="I17" s="331"/>
    </row>
    <row r="18">
      <c r="A18" s="323"/>
      <c r="B18" s="324"/>
      <c r="C18" s="325" t="s">
        <v>286</v>
      </c>
      <c r="D18" s="325"/>
      <c r="E18" s="325"/>
      <c r="F18" s="325"/>
      <c r="G18" s="332"/>
      <c r="H18" s="325"/>
      <c r="I18" s="326"/>
    </row>
    <row r="19">
      <c r="A19" s="328" t="s">
        <v>287</v>
      </c>
      <c r="B19" s="333"/>
      <c r="C19" s="334" t="s">
        <v>288</v>
      </c>
      <c r="D19" s="335"/>
      <c r="E19" s="335"/>
      <c r="F19" s="335"/>
      <c r="G19" s="335"/>
      <c r="H19" s="335"/>
      <c r="I19" s="336"/>
      <c r="J19" s="302" t="str">
        <f>PROPER(C19)</f>
        <v xml:space="preserve">Cadangan Kerja-Kerja Membaikpulih Longkang Di Jalan Sg 4/10  Dan Jalan 6/3 Taman Sri Gombak Serta Kerja-Kerja Berkaitan,Mukim Batu,Daerah Gombak,Selangor Darul Ehsan</v>
      </c>
    </row>
    <row r="20">
      <c r="A20" s="323"/>
      <c r="B20" s="324"/>
      <c r="C20" s="337"/>
      <c r="D20" s="338"/>
      <c r="E20" s="338"/>
      <c r="F20" s="338"/>
      <c r="G20" s="338"/>
      <c r="H20" s="338"/>
      <c r="I20" s="339"/>
    </row>
    <row r="21">
      <c r="A21" s="323"/>
      <c r="B21" s="324"/>
      <c r="C21" s="337"/>
      <c r="D21" s="338"/>
      <c r="E21" s="338"/>
      <c r="F21" s="338"/>
      <c r="G21" s="338"/>
      <c r="H21" s="338"/>
      <c r="I21" s="339"/>
    </row>
    <row r="22">
      <c r="A22" s="340"/>
      <c r="B22" s="341"/>
      <c r="C22" s="342"/>
      <c r="D22" s="343"/>
      <c r="E22" s="343"/>
      <c r="F22" s="343"/>
      <c r="G22" s="343"/>
      <c r="H22" s="343"/>
      <c r="I22" s="344"/>
    </row>
    <row r="23">
      <c r="A23" s="309" t="s">
        <v>289</v>
      </c>
      <c r="B23" s="310"/>
      <c r="C23" s="345" t="s">
        <v>290</v>
      </c>
      <c r="D23" s="346"/>
      <c r="E23" s="346"/>
      <c r="F23" s="346"/>
      <c r="G23" s="346"/>
      <c r="H23" s="346"/>
      <c r="I23" s="347"/>
    </row>
    <row r="24">
      <c r="A24" s="314"/>
      <c r="B24" s="315"/>
      <c r="C24" s="348"/>
      <c r="D24" s="349"/>
      <c r="E24" s="349"/>
      <c r="F24" s="349"/>
      <c r="G24" s="349"/>
      <c r="H24" s="349"/>
      <c r="I24" s="350"/>
    </row>
    <row r="25">
      <c r="A25" s="323" t="s">
        <v>291</v>
      </c>
      <c r="B25" s="351"/>
      <c r="C25" s="351"/>
      <c r="D25" s="351"/>
      <c r="E25" s="351"/>
      <c r="F25" s="351"/>
      <c r="G25" s="351"/>
      <c r="H25" s="351"/>
      <c r="I25" s="324"/>
    </row>
    <row r="26">
      <c r="A26" s="323"/>
      <c r="B26" s="351"/>
      <c r="C26" s="351"/>
      <c r="D26" s="351"/>
      <c r="E26" s="351"/>
      <c r="F26" s="351"/>
      <c r="G26" s="351"/>
      <c r="H26" s="351"/>
      <c r="I26" s="324"/>
    </row>
    <row r="27" ht="14.25" customHeight="1">
      <c r="A27" s="352">
        <v>2</v>
      </c>
      <c r="B27" s="353" t="str">
        <f>J19</f>
        <v xml:space="preserve">Cadangan Kerja-Kerja Membaikpulih Longkang Di Jalan Sg 4/10  Dan Jalan 6/3 Taman Sri Gombak Serta Kerja-Kerja Berkaitan,Mukim Batu,Daerah Gombak,Selangor Darul Ehsan</v>
      </c>
      <c r="C27" s="353"/>
      <c r="D27" s="353"/>
      <c r="E27" s="353"/>
      <c r="F27" s="353"/>
      <c r="G27" s="353"/>
      <c r="H27" s="353"/>
      <c r="I27" s="324"/>
    </row>
    <row r="28">
      <c r="A28" s="323"/>
      <c r="B28" s="353"/>
      <c r="C28" s="353"/>
      <c r="D28" s="353"/>
      <c r="E28" s="353"/>
      <c r="F28" s="353"/>
      <c r="G28" s="353"/>
      <c r="H28" s="353"/>
      <c r="I28" s="324"/>
    </row>
    <row r="29">
      <c r="A29" s="323"/>
      <c r="B29" s="353"/>
      <c r="C29" s="353"/>
      <c r="D29" s="353"/>
      <c r="E29" s="353"/>
      <c r="F29" s="353"/>
      <c r="G29" s="353"/>
      <c r="H29" s="353"/>
      <c r="I29" s="324"/>
    </row>
    <row r="30">
      <c r="A30" s="323"/>
      <c r="B30" s="353"/>
      <c r="C30" s="353"/>
      <c r="D30" s="353"/>
      <c r="E30" s="353"/>
      <c r="F30" s="353"/>
      <c r="G30" s="353"/>
      <c r="H30" s="353"/>
      <c r="I30" s="324"/>
    </row>
    <row r="31">
      <c r="A31" s="354"/>
      <c r="B31" s="355" t="s">
        <v>292</v>
      </c>
      <c r="C31" s="355"/>
      <c r="D31" s="355"/>
      <c r="E31" s="355"/>
      <c r="F31" s="355"/>
      <c r="G31" s="355"/>
      <c r="H31" s="355"/>
      <c r="I31" s="356"/>
    </row>
    <row r="32">
      <c r="A32" s="354"/>
      <c r="B32" s="357"/>
      <c r="C32" s="357"/>
      <c r="D32" s="357"/>
      <c r="E32" s="357"/>
      <c r="F32" s="357"/>
      <c r="G32" s="357"/>
      <c r="H32" s="357"/>
      <c r="I32" s="358"/>
    </row>
    <row r="33">
      <c r="A33" s="323" t="s">
        <v>293</v>
      </c>
      <c r="B33" s="357"/>
      <c r="C33" s="357"/>
      <c r="D33" s="357"/>
      <c r="E33" s="357"/>
      <c r="F33" s="357"/>
      <c r="G33" s="357"/>
      <c r="H33" s="357"/>
      <c r="I33" s="358"/>
    </row>
    <row r="34">
      <c r="A34" s="354"/>
      <c r="B34" s="357"/>
      <c r="C34" s="357"/>
      <c r="D34" s="351"/>
      <c r="E34" s="357"/>
      <c r="F34" s="357"/>
      <c r="G34" s="357"/>
      <c r="H34" s="357"/>
      <c r="I34" s="358"/>
    </row>
    <row r="35">
      <c r="A35" s="323" t="s">
        <v>294</v>
      </c>
      <c r="B35" s="351"/>
      <c r="C35" s="351"/>
      <c r="D35" s="351"/>
      <c r="E35" s="357"/>
      <c r="F35" s="357"/>
      <c r="G35" s="357"/>
      <c r="H35" s="357"/>
      <c r="I35" s="358"/>
    </row>
    <row r="36" ht="16.5" customHeight="1">
      <c r="A36" s="323" t="s">
        <v>295</v>
      </c>
      <c r="B36" s="351"/>
      <c r="C36" s="351"/>
      <c r="D36" s="351"/>
      <c r="E36" s="357"/>
      <c r="F36" s="357"/>
      <c r="G36" s="357"/>
      <c r="H36" s="357"/>
      <c r="I36" s="358"/>
    </row>
    <row r="37" ht="15.75" customHeight="1">
      <c r="A37" s="323" t="s">
        <v>296</v>
      </c>
      <c r="B37" s="351"/>
      <c r="C37" s="351"/>
      <c r="D37" s="351"/>
      <c r="E37" s="357"/>
      <c r="F37" s="357"/>
      <c r="G37" s="357"/>
      <c r="H37" s="357"/>
      <c r="I37" s="358"/>
    </row>
    <row r="38">
      <c r="A38" s="323" t="s">
        <v>297</v>
      </c>
      <c r="B38" s="351"/>
      <c r="C38" s="351"/>
      <c r="D38" s="351"/>
      <c r="E38" s="351"/>
      <c r="F38" s="351"/>
      <c r="G38" s="351"/>
      <c r="H38" s="351"/>
      <c r="I38" s="324"/>
    </row>
    <row r="39">
      <c r="A39" s="323"/>
      <c r="B39" s="351"/>
      <c r="C39" s="351"/>
      <c r="D39" s="351"/>
      <c r="E39" s="351"/>
      <c r="F39" s="351"/>
      <c r="G39" s="351"/>
      <c r="H39" s="351"/>
      <c r="I39" s="324"/>
    </row>
    <row r="40">
      <c r="A40" s="323" t="s">
        <v>298</v>
      </c>
      <c r="B40" s="351"/>
      <c r="C40" s="351"/>
      <c r="D40" s="351"/>
      <c r="E40" s="351"/>
      <c r="F40" s="351"/>
      <c r="G40" s="351"/>
      <c r="H40" s="351"/>
      <c r="I40" s="324"/>
    </row>
    <row r="41">
      <c r="A41" s="323"/>
      <c r="B41" s="351"/>
      <c r="C41" s="351"/>
      <c r="D41" s="351"/>
      <c r="E41" s="351"/>
      <c r="F41" s="351"/>
      <c r="G41" s="351"/>
      <c r="H41" s="351"/>
      <c r="I41" s="324"/>
    </row>
    <row r="42">
      <c r="A42" s="323"/>
      <c r="B42" s="351"/>
      <c r="C42" s="351"/>
      <c r="D42" s="351"/>
      <c r="E42" s="351"/>
      <c r="F42" s="351"/>
      <c r="G42" s="351"/>
      <c r="H42" s="351"/>
      <c r="I42" s="324"/>
    </row>
    <row r="43">
      <c r="A43" s="323" t="s">
        <v>299</v>
      </c>
      <c r="B43" s="351"/>
      <c r="C43" s="351"/>
      <c r="D43" s="351"/>
      <c r="E43" s="351"/>
      <c r="F43" s="351"/>
      <c r="G43" s="351"/>
      <c r="H43" s="351"/>
      <c r="I43" s="324"/>
    </row>
    <row r="44">
      <c r="A44" s="323" t="s">
        <v>300</v>
      </c>
      <c r="B44" s="351"/>
      <c r="C44" s="351"/>
      <c r="D44" s="351"/>
      <c r="E44" s="351"/>
      <c r="F44" s="351"/>
      <c r="G44" s="351"/>
      <c r="H44" s="351"/>
      <c r="I44" s="324"/>
    </row>
    <row r="45">
      <c r="A45" s="323"/>
      <c r="B45" s="351"/>
      <c r="C45" s="351"/>
      <c r="D45" s="351"/>
      <c r="E45" s="351"/>
      <c r="F45" s="351"/>
      <c r="G45" s="351"/>
      <c r="H45" s="351"/>
      <c r="I45" s="324"/>
    </row>
    <row r="46">
      <c r="A46" s="323" t="s">
        <v>301</v>
      </c>
      <c r="B46" s="351"/>
      <c r="C46" s="351"/>
      <c r="D46" s="351"/>
      <c r="E46" s="351"/>
      <c r="F46" s="351"/>
      <c r="G46" s="351"/>
      <c r="H46" s="351"/>
      <c r="I46" s="324"/>
    </row>
    <row r="47">
      <c r="A47" s="323" t="s">
        <v>302</v>
      </c>
      <c r="B47" s="351"/>
      <c r="C47" s="351"/>
      <c r="D47" s="351"/>
      <c r="E47" s="351"/>
      <c r="F47" s="351"/>
      <c r="G47" s="351"/>
      <c r="H47" s="351"/>
      <c r="I47" s="324"/>
    </row>
    <row r="48">
      <c r="A48" s="340" t="s">
        <v>303</v>
      </c>
      <c r="B48" s="359"/>
      <c r="C48" s="359"/>
      <c r="D48" s="359"/>
      <c r="E48" s="359"/>
      <c r="F48" s="359"/>
      <c r="G48" s="359"/>
      <c r="H48" s="359"/>
      <c r="I48" s="341"/>
    </row>
    <row r="49">
      <c r="A49" s="360"/>
      <c r="B49" s="361"/>
      <c r="C49" s="361"/>
      <c r="D49" s="361"/>
      <c r="E49" s="361"/>
      <c r="F49" s="361"/>
      <c r="G49" s="361"/>
      <c r="H49" s="361"/>
      <c r="I49" s="362"/>
    </row>
    <row r="50">
      <c r="A50" s="363" t="s">
        <v>304</v>
      </c>
      <c r="B50" s="302"/>
      <c r="C50" s="302"/>
      <c r="D50" s="302"/>
      <c r="E50" s="302"/>
      <c r="F50" s="302"/>
      <c r="G50" s="302"/>
      <c r="H50" s="302"/>
      <c r="I50" s="364"/>
    </row>
    <row r="51">
      <c r="A51" s="363"/>
      <c r="B51" s="302"/>
      <c r="C51" s="302"/>
      <c r="D51" s="302"/>
      <c r="E51" s="302"/>
      <c r="F51" s="302"/>
      <c r="G51" s="302"/>
      <c r="H51" s="302"/>
      <c r="I51" s="364"/>
    </row>
    <row r="52" ht="14.25" customHeight="1">
      <c r="A52" s="365" t="str">
        <f>PROPER(C19)</f>
        <v xml:space="preserve">Cadangan Kerja-Kerja Membaikpulih Longkang Di Jalan Sg 4/10  Dan Jalan 6/3 Taman Sri Gombak Serta Kerja-Kerja Berkaitan,Mukim Batu,Daerah Gombak,Selangor Darul Ehsan</v>
      </c>
      <c r="B52" s="366"/>
      <c r="C52" s="366"/>
      <c r="D52" s="366"/>
      <c r="E52" s="366"/>
      <c r="F52" s="366"/>
      <c r="G52" s="366"/>
      <c r="H52" s="366"/>
      <c r="I52" s="367"/>
    </row>
    <row r="53">
      <c r="A53" s="365"/>
      <c r="B53" s="366"/>
      <c r="C53" s="366"/>
      <c r="D53" s="366"/>
      <c r="E53" s="366"/>
      <c r="F53" s="366"/>
      <c r="G53" s="366"/>
      <c r="H53" s="366"/>
      <c r="I53" s="367"/>
    </row>
    <row r="54">
      <c r="A54" s="365"/>
      <c r="B54" s="366"/>
      <c r="C54" s="366"/>
      <c r="D54" s="366"/>
      <c r="E54" s="366"/>
      <c r="F54" s="366"/>
      <c r="G54" s="366"/>
      <c r="H54" s="366"/>
      <c r="I54" s="367"/>
    </row>
    <row r="55">
      <c r="A55" s="363"/>
      <c r="B55" s="302"/>
      <c r="C55" s="302"/>
      <c r="D55" s="302"/>
      <c r="E55" s="302"/>
      <c r="F55" s="302"/>
      <c r="G55" s="302"/>
      <c r="H55" s="302"/>
      <c r="I55" s="364"/>
    </row>
    <row r="56">
      <c r="A56" s="363" t="s">
        <v>305</v>
      </c>
      <c r="B56" s="302"/>
      <c r="C56" s="302"/>
      <c r="D56" s="302"/>
      <c r="E56" s="302"/>
      <c r="F56" s="302"/>
      <c r="G56" s="302"/>
      <c r="H56" s="302"/>
      <c r="I56" s="364"/>
    </row>
    <row r="57">
      <c r="A57" s="363"/>
      <c r="B57" s="302"/>
      <c r="C57" s="302"/>
      <c r="D57" s="302"/>
      <c r="E57" s="302"/>
      <c r="F57" s="302"/>
      <c r="G57" s="302"/>
      <c r="H57" s="302"/>
      <c r="I57" s="364"/>
    </row>
    <row r="58">
      <c r="A58" s="363" t="s">
        <v>306</v>
      </c>
      <c r="B58" s="302"/>
      <c r="C58" s="302"/>
      <c r="D58" s="302"/>
      <c r="E58" s="302"/>
      <c r="F58" s="302"/>
      <c r="G58" s="302"/>
      <c r="H58" s="302"/>
      <c r="I58" s="364"/>
    </row>
    <row r="59">
      <c r="A59" s="363"/>
      <c r="B59" s="302"/>
      <c r="C59" s="302"/>
      <c r="D59" s="302"/>
      <c r="E59" s="302"/>
      <c r="F59" s="302"/>
      <c r="G59" s="302"/>
      <c r="H59" s="302"/>
      <c r="I59" s="364"/>
    </row>
    <row r="60">
      <c r="A60" s="363" t="s">
        <v>307</v>
      </c>
      <c r="B60" s="302"/>
      <c r="C60" s="302"/>
      <c r="D60" s="302"/>
      <c r="E60" s="302"/>
      <c r="F60" s="302"/>
      <c r="G60" s="302"/>
      <c r="H60" s="302"/>
      <c r="I60" s="364"/>
    </row>
    <row r="61">
      <c r="A61" s="363" t="s">
        <v>308</v>
      </c>
      <c r="B61" s="302"/>
      <c r="C61" s="302"/>
      <c r="D61" s="302"/>
      <c r="E61" s="302"/>
      <c r="F61" s="302"/>
      <c r="G61" s="302"/>
      <c r="H61" s="302"/>
      <c r="I61" s="364"/>
    </row>
    <row r="62">
      <c r="A62" s="363"/>
      <c r="B62" s="302"/>
      <c r="C62" s="302"/>
      <c r="D62" s="302"/>
      <c r="E62" s="302"/>
      <c r="F62" s="302"/>
      <c r="G62" s="302"/>
      <c r="H62" s="302"/>
      <c r="I62" s="364"/>
    </row>
    <row r="63">
      <c r="A63" s="363"/>
      <c r="B63" s="302"/>
      <c r="C63" s="302"/>
      <c r="D63" s="302"/>
      <c r="E63" s="302"/>
      <c r="F63" s="302"/>
      <c r="G63" s="302"/>
      <c r="H63" s="302"/>
      <c r="I63" s="364"/>
    </row>
    <row r="64">
      <c r="A64" s="363"/>
      <c r="B64" s="302"/>
      <c r="C64" s="302"/>
      <c r="D64" s="302"/>
      <c r="E64" s="302"/>
      <c r="F64" s="302"/>
      <c r="G64" s="302"/>
      <c r="H64" s="302"/>
      <c r="I64" s="364"/>
    </row>
    <row r="65">
      <c r="A65" s="363"/>
      <c r="B65" s="302"/>
      <c r="C65" s="302"/>
      <c r="D65" s="302"/>
      <c r="E65" s="302"/>
      <c r="F65" s="302"/>
      <c r="G65" s="302"/>
      <c r="H65" s="302"/>
      <c r="I65" s="364"/>
    </row>
    <row r="66">
      <c r="A66" s="363" t="s">
        <v>309</v>
      </c>
      <c r="B66" s="302"/>
      <c r="C66" s="302"/>
      <c r="D66" s="302"/>
      <c r="E66" s="302"/>
      <c r="F66" s="302"/>
      <c r="G66" s="302"/>
      <c r="H66" s="302"/>
      <c r="I66" s="364"/>
    </row>
    <row r="67">
      <c r="A67" s="363"/>
      <c r="B67" s="302"/>
      <c r="C67" s="302"/>
      <c r="D67" s="302"/>
      <c r="E67" s="302"/>
      <c r="F67" s="302"/>
      <c r="G67" s="302"/>
      <c r="H67" s="302"/>
      <c r="I67" s="364"/>
    </row>
    <row r="68">
      <c r="A68" s="363" t="s">
        <v>310</v>
      </c>
      <c r="B68" s="302"/>
      <c r="C68" s="302"/>
      <c r="D68" s="302"/>
      <c r="E68" s="302"/>
      <c r="F68" s="302"/>
      <c r="G68" s="302"/>
      <c r="H68" s="302"/>
      <c r="I68" s="364"/>
    </row>
    <row r="69">
      <c r="A69" s="363"/>
      <c r="B69" s="302"/>
      <c r="C69" s="302"/>
      <c r="D69" s="302"/>
      <c r="E69" s="302"/>
      <c r="F69" s="302"/>
      <c r="G69" s="302"/>
      <c r="H69" s="302"/>
      <c r="I69" s="364"/>
    </row>
    <row r="70">
      <c r="A70" s="363"/>
      <c r="B70" s="302"/>
      <c r="C70" s="302"/>
      <c r="D70" s="302"/>
      <c r="E70" s="302"/>
      <c r="F70" s="302"/>
      <c r="G70" s="302"/>
      <c r="H70" s="302"/>
      <c r="I70" s="364"/>
    </row>
    <row r="71">
      <c r="A71" s="368"/>
      <c r="B71" s="369"/>
      <c r="C71" s="369"/>
      <c r="D71" s="369"/>
      <c r="E71" s="369"/>
      <c r="F71" s="369"/>
      <c r="G71" s="369"/>
      <c r="H71" s="369"/>
      <c r="I71" s="370"/>
    </row>
    <row r="72">
      <c r="A72" s="360"/>
      <c r="B72" s="361"/>
      <c r="C72" s="361"/>
      <c r="D72" s="361"/>
      <c r="E72" s="361"/>
      <c r="F72" s="361"/>
      <c r="G72" s="361"/>
      <c r="H72" s="361"/>
      <c r="I72" s="362"/>
    </row>
    <row r="73">
      <c r="A73" s="363" t="s">
        <v>311</v>
      </c>
      <c r="B73" s="302"/>
      <c r="C73" s="302"/>
      <c r="D73" s="302"/>
      <c r="E73" s="302"/>
      <c r="F73" s="302"/>
      <c r="G73" s="302"/>
      <c r="H73" s="302"/>
      <c r="I73" s="364"/>
    </row>
    <row r="74">
      <c r="A74" s="363"/>
      <c r="B74" s="302"/>
      <c r="C74" s="302"/>
      <c r="D74" s="302"/>
      <c r="E74" s="302"/>
      <c r="F74" s="302"/>
      <c r="G74" s="302"/>
      <c r="H74" s="302"/>
      <c r="I74" s="364"/>
    </row>
    <row r="75">
      <c r="A75" s="363"/>
      <c r="B75" s="302"/>
      <c r="C75" s="302"/>
      <c r="D75" s="302"/>
      <c r="E75" s="302"/>
      <c r="F75" s="302"/>
      <c r="G75" s="302"/>
      <c r="H75" s="302"/>
      <c r="I75" s="364"/>
    </row>
    <row r="76">
      <c r="A76" s="363" t="s">
        <v>312</v>
      </c>
      <c r="B76" s="302"/>
      <c r="C76" s="302"/>
      <c r="D76" s="302"/>
      <c r="E76" s="302"/>
      <c r="F76" s="302"/>
      <c r="G76" s="302"/>
      <c r="H76" s="302"/>
      <c r="I76" s="364"/>
    </row>
    <row r="77">
      <c r="A77" s="363" t="s">
        <v>313</v>
      </c>
      <c r="B77" s="302"/>
      <c r="C77" s="302"/>
      <c r="D77" s="302"/>
      <c r="E77" s="302"/>
      <c r="F77" s="302"/>
      <c r="G77" s="302"/>
      <c r="H77" s="302"/>
      <c r="I77" s="364"/>
    </row>
    <row r="78">
      <c r="A78" s="363"/>
      <c r="B78" s="302"/>
      <c r="C78" s="302"/>
      <c r="D78" s="302"/>
      <c r="E78" s="302"/>
      <c r="F78" s="302"/>
      <c r="G78" s="302"/>
      <c r="H78" s="302"/>
      <c r="I78" s="364"/>
    </row>
    <row r="79">
      <c r="A79" s="363"/>
      <c r="B79" s="302"/>
      <c r="C79" s="302"/>
      <c r="D79" s="302"/>
      <c r="E79" s="302"/>
      <c r="F79" s="302"/>
      <c r="G79" s="302"/>
      <c r="H79" s="302"/>
      <c r="I79" s="364"/>
    </row>
    <row r="80">
      <c r="A80" s="363" t="s">
        <v>314</v>
      </c>
      <c r="B80" s="302"/>
      <c r="C80" s="302"/>
      <c r="D80" s="302"/>
      <c r="E80" s="302"/>
      <c r="F80" s="302"/>
      <c r="G80" s="302"/>
      <c r="H80" s="302"/>
      <c r="I80" s="364"/>
    </row>
    <row r="81">
      <c r="A81" s="363"/>
      <c r="B81" s="302"/>
      <c r="C81" s="302"/>
      <c r="D81" s="302"/>
      <c r="E81" s="302"/>
      <c r="F81" s="302"/>
      <c r="G81" s="302"/>
      <c r="H81" s="302"/>
      <c r="I81" s="364"/>
    </row>
    <row r="82">
      <c r="A82" s="363" t="s">
        <v>314</v>
      </c>
      <c r="B82" s="302"/>
      <c r="C82" s="302"/>
      <c r="D82" s="302"/>
      <c r="E82" s="302"/>
      <c r="F82" s="302"/>
      <c r="G82" s="302"/>
      <c r="H82" s="302"/>
      <c r="I82" s="364"/>
    </row>
    <row r="83">
      <c r="A83" s="363"/>
      <c r="B83" s="302"/>
      <c r="C83" s="302"/>
      <c r="D83" s="302"/>
      <c r="E83" s="302"/>
      <c r="F83" s="302"/>
      <c r="G83" s="302"/>
      <c r="H83" s="302"/>
      <c r="I83" s="364"/>
    </row>
    <row r="84">
      <c r="A84" s="363"/>
      <c r="B84" s="302"/>
      <c r="C84" s="302"/>
      <c r="D84" s="302"/>
      <c r="E84" s="302"/>
      <c r="F84" s="302"/>
      <c r="G84" s="302"/>
      <c r="H84" s="302"/>
      <c r="I84" s="364"/>
    </row>
    <row r="85">
      <c r="A85" s="363"/>
      <c r="B85" s="302"/>
      <c r="C85" s="302"/>
      <c r="D85" s="302"/>
      <c r="E85" s="302"/>
      <c r="F85" s="302"/>
      <c r="G85" s="302"/>
      <c r="H85" s="302"/>
      <c r="I85" s="364"/>
    </row>
    <row r="86">
      <c r="A86" s="363"/>
      <c r="B86" s="302"/>
      <c r="C86" s="302"/>
      <c r="D86" s="302"/>
      <c r="E86" s="302"/>
      <c r="F86" s="302"/>
      <c r="G86" s="302"/>
      <c r="H86" s="302"/>
      <c r="I86" s="364"/>
    </row>
    <row r="87">
      <c r="A87" s="363" t="s">
        <v>309</v>
      </c>
      <c r="B87" s="302"/>
      <c r="C87" s="302"/>
      <c r="D87" s="302"/>
      <c r="E87" s="302"/>
      <c r="F87" s="302"/>
      <c r="G87" s="302"/>
      <c r="H87" s="302"/>
      <c r="I87" s="364"/>
    </row>
    <row r="88">
      <c r="A88" s="363"/>
      <c r="B88" s="302"/>
      <c r="C88" s="302"/>
      <c r="D88" s="302"/>
      <c r="E88" s="302"/>
      <c r="F88" s="302"/>
      <c r="G88" s="302"/>
      <c r="H88" s="302"/>
      <c r="I88" s="364"/>
    </row>
    <row r="89">
      <c r="A89" s="363" t="s">
        <v>315</v>
      </c>
      <c r="C89" s="302"/>
      <c r="D89" s="302"/>
      <c r="E89" s="302"/>
      <c r="F89" s="302"/>
      <c r="G89" s="302"/>
      <c r="H89" s="302"/>
      <c r="I89" s="364"/>
    </row>
    <row r="90">
      <c r="A90" s="363"/>
      <c r="C90" s="302"/>
      <c r="D90" s="302"/>
      <c r="E90" s="302"/>
      <c r="F90" s="302"/>
      <c r="G90" s="302"/>
      <c r="H90" s="302"/>
      <c r="I90" s="364"/>
    </row>
    <row r="91">
      <c r="A91" s="363"/>
      <c r="C91" s="302"/>
      <c r="D91" s="302"/>
      <c r="E91" s="302"/>
      <c r="F91" s="302"/>
      <c r="G91" s="302"/>
      <c r="H91" s="302"/>
      <c r="I91" s="364"/>
    </row>
    <row r="92">
      <c r="A92" s="363"/>
      <c r="C92" s="302"/>
      <c r="D92" s="302"/>
      <c r="E92" s="302"/>
      <c r="F92" s="302"/>
      <c r="G92" s="302"/>
      <c r="H92" s="302"/>
      <c r="I92" s="364"/>
    </row>
    <row r="93">
      <c r="A93" s="363"/>
      <c r="C93" s="302"/>
      <c r="D93" s="302"/>
      <c r="E93" s="302"/>
      <c r="F93" s="302"/>
      <c r="G93" s="302"/>
      <c r="H93" s="302"/>
      <c r="I93" s="364"/>
    </row>
    <row r="94">
      <c r="A94" s="363"/>
      <c r="C94" s="302"/>
      <c r="D94" s="302"/>
      <c r="E94" s="302"/>
      <c r="F94" s="302"/>
      <c r="G94" s="302"/>
      <c r="H94" s="302"/>
      <c r="I94" s="364"/>
    </row>
    <row r="95">
      <c r="A95" s="363"/>
      <c r="C95" s="302"/>
      <c r="D95" s="302"/>
      <c r="E95" s="302"/>
      <c r="F95" s="302"/>
      <c r="G95" s="302"/>
      <c r="H95" s="302"/>
      <c r="I95" s="364"/>
    </row>
    <row r="96">
      <c r="A96" s="363"/>
      <c r="B96" s="302"/>
      <c r="C96" s="302"/>
      <c r="D96" s="302"/>
      <c r="E96" s="302"/>
      <c r="F96" s="302"/>
      <c r="G96" s="302"/>
      <c r="H96" s="302"/>
      <c r="I96" s="364"/>
    </row>
    <row r="97">
      <c r="A97" s="368"/>
      <c r="B97" s="369"/>
      <c r="C97" s="369"/>
      <c r="D97" s="369"/>
      <c r="E97" s="369"/>
      <c r="F97" s="369"/>
      <c r="G97" s="369"/>
      <c r="H97" s="369"/>
      <c r="I97" s="370"/>
    </row>
  </sheetData>
  <mergeCells count="18">
    <mergeCell ref="B27:H30"/>
    <mergeCell ref="B31:I31"/>
    <mergeCell ref="A52:I54"/>
    <mergeCell ref="A10:B11"/>
    <mergeCell ref="C10:I11"/>
    <mergeCell ref="A23:B24"/>
    <mergeCell ref="C23:I24"/>
    <mergeCell ref="C19:I22"/>
    <mergeCell ref="A1:I1"/>
    <mergeCell ref="A3:I3"/>
    <mergeCell ref="A5:I5"/>
    <mergeCell ref="A6:I6"/>
    <mergeCell ref="C17:I17"/>
    <mergeCell ref="C12:I12"/>
    <mergeCell ref="A4:I4"/>
    <mergeCell ref="A7:I7"/>
    <mergeCell ref="A8:I8"/>
    <mergeCell ref="F9:I9"/>
  </mergeCells>
  <printOptions headings="0" gridLines="0" horizontalCentered="1"/>
  <pageMargins left="0.75" right="0.75" top="0.75" bottom="0.75" header="0.31496062992126" footer="0.3149606299212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48" man="1" max="16383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topLeftCell="A16" zoomScale="100" workbookViewId="0">
      <selection activeCell="G14" activeCellId="0" sqref="G14"/>
    </sheetView>
  </sheetViews>
  <sheetFormatPr defaultRowHeight="14.25"/>
  <cols>
    <col min="1" max="1" style="302" width="9.140625"/>
    <col customWidth="1" min="2" max="2" style="302" width="10.7109375"/>
    <col min="3" max="5" style="302" width="9.140625"/>
    <col bestFit="1" customWidth="1" min="6" max="6" style="302" width="10"/>
    <col min="7" max="16384" style="302" width="9.140625"/>
  </cols>
  <sheetData>
    <row r="1" ht="18">
      <c r="A1" s="371"/>
      <c r="B1" s="371"/>
      <c r="C1" s="371"/>
      <c r="D1" s="371"/>
      <c r="E1" s="371"/>
      <c r="F1" s="371"/>
      <c r="G1" s="371"/>
      <c r="H1" s="371"/>
      <c r="I1" s="371"/>
    </row>
    <row r="3" ht="18">
      <c r="A3" s="371"/>
      <c r="B3" s="371"/>
      <c r="C3" s="371"/>
      <c r="D3" s="371"/>
      <c r="E3" s="371"/>
      <c r="F3" s="371"/>
      <c r="G3" s="371"/>
      <c r="H3" s="371"/>
      <c r="I3" s="371"/>
    </row>
    <row r="4">
      <c r="A4" s="372"/>
      <c r="B4" s="372"/>
      <c r="C4" s="372"/>
      <c r="D4" s="372"/>
      <c r="E4" s="372"/>
      <c r="F4" s="372"/>
      <c r="G4" s="372"/>
      <c r="H4" s="372"/>
      <c r="I4" s="372"/>
    </row>
    <row r="5">
      <c r="A5" s="372"/>
      <c r="B5" s="372"/>
      <c r="C5" s="372"/>
      <c r="D5" s="372"/>
      <c r="E5" s="372"/>
      <c r="F5" s="372"/>
      <c r="G5" s="372"/>
      <c r="H5" s="372"/>
      <c r="I5" s="372"/>
    </row>
    <row r="6" ht="15">
      <c r="A6" s="306"/>
      <c r="B6" s="307"/>
      <c r="C6" s="307"/>
      <c r="D6" s="307"/>
      <c r="E6" s="307"/>
      <c r="F6" s="307"/>
      <c r="G6" s="307"/>
      <c r="H6" s="307"/>
      <c r="I6" s="307"/>
    </row>
    <row r="7" ht="15.75">
      <c r="A7" s="373" t="s">
        <v>316</v>
      </c>
      <c r="B7" s="307"/>
      <c r="C7" s="307"/>
      <c r="D7" s="307"/>
      <c r="E7" s="307"/>
      <c r="F7" s="307"/>
      <c r="G7" s="307"/>
      <c r="H7" s="307"/>
      <c r="I7" s="307"/>
    </row>
    <row r="8" ht="15">
      <c r="A8" s="308"/>
      <c r="B8" s="307"/>
      <c r="C8" s="307"/>
      <c r="D8" s="307"/>
      <c r="E8" s="307"/>
      <c r="F8" s="307"/>
      <c r="G8" s="307"/>
      <c r="H8" s="307"/>
      <c r="I8" s="307"/>
    </row>
    <row r="9" ht="14.25" customHeight="1">
      <c r="F9" s="269"/>
      <c r="G9" s="269"/>
      <c r="H9" s="269"/>
      <c r="I9" s="269"/>
    </row>
    <row r="10">
      <c r="A10" s="374"/>
      <c r="B10" s="302"/>
      <c r="C10" s="374"/>
      <c r="D10" s="374"/>
      <c r="E10" s="374"/>
      <c r="F10" s="374"/>
      <c r="G10" s="374"/>
      <c r="H10" s="374"/>
      <c r="I10" s="374"/>
    </row>
    <row r="11" ht="15.75">
      <c r="A11" s="375"/>
      <c r="B11" s="271"/>
      <c r="C11" s="374"/>
      <c r="D11" s="374"/>
      <c r="E11" s="376"/>
      <c r="F11" s="377"/>
      <c r="G11" s="377"/>
      <c r="H11" s="374"/>
      <c r="I11" s="374"/>
    </row>
    <row r="12" ht="15" customHeight="1">
      <c r="A12" s="375"/>
      <c r="B12" s="378"/>
      <c r="C12" s="379"/>
      <c r="D12" s="379"/>
      <c r="E12" s="379"/>
      <c r="F12" s="379"/>
      <c r="G12" s="379"/>
      <c r="H12" s="379"/>
      <c r="I12" s="379"/>
    </row>
    <row r="13">
      <c r="A13" s="374"/>
      <c r="B13" s="302"/>
      <c r="C13" s="374"/>
      <c r="D13" s="374"/>
      <c r="E13" s="374"/>
      <c r="F13" s="374"/>
      <c r="G13" s="374"/>
      <c r="H13" s="374"/>
      <c r="I13" s="374"/>
    </row>
    <row r="14">
      <c r="A14" s="380"/>
      <c r="B14" s="302"/>
      <c r="C14" s="374"/>
      <c r="D14" s="374"/>
      <c r="E14" s="374"/>
      <c r="F14" s="374"/>
      <c r="G14" s="374"/>
      <c r="H14" s="374"/>
      <c r="I14" s="374"/>
    </row>
    <row r="15">
      <c r="A15" s="374"/>
      <c r="B15" s="302"/>
      <c r="C15" s="374"/>
      <c r="D15" s="374"/>
      <c r="E15" s="374"/>
      <c r="F15" s="374"/>
      <c r="G15" s="374"/>
      <c r="H15" s="374"/>
      <c r="I15" s="374"/>
    </row>
    <row r="16">
      <c r="A16" s="374"/>
      <c r="B16" s="302"/>
      <c r="C16" s="374"/>
      <c r="D16" s="374"/>
      <c r="E16" s="374"/>
      <c r="F16" s="374"/>
      <c r="G16" s="374"/>
      <c r="H16" s="374"/>
      <c r="I16" s="374"/>
    </row>
    <row r="17" ht="17.25" customHeight="1">
      <c r="A17" s="374"/>
      <c r="B17" s="275"/>
      <c r="C17" s="381"/>
      <c r="D17" s="381"/>
      <c r="E17" s="381"/>
      <c r="F17" s="381"/>
      <c r="G17" s="381"/>
      <c r="H17" s="381"/>
      <c r="I17" s="381"/>
    </row>
    <row r="18">
      <c r="A18" s="374"/>
      <c r="B18" s="302"/>
      <c r="C18" s="374"/>
      <c r="D18" s="374"/>
      <c r="E18" s="374"/>
      <c r="F18" s="374"/>
      <c r="G18" s="374"/>
      <c r="H18" s="374"/>
      <c r="I18" s="374"/>
    </row>
    <row r="19" ht="15">
      <c r="A19" s="374"/>
      <c r="B19" s="274"/>
      <c r="C19" s="374"/>
      <c r="D19" s="374"/>
      <c r="E19" s="374"/>
      <c r="F19" s="374"/>
      <c r="G19" s="374"/>
      <c r="H19" s="374"/>
      <c r="I19" s="374"/>
    </row>
    <row r="20" ht="15">
      <c r="A20" s="374"/>
      <c r="B20" s="274"/>
      <c r="C20" s="374"/>
      <c r="D20" s="374"/>
      <c r="E20" s="374"/>
      <c r="F20" s="374"/>
      <c r="G20" s="374"/>
      <c r="H20" s="374"/>
      <c r="I20" s="374"/>
    </row>
    <row r="21" ht="15">
      <c r="A21" s="374"/>
      <c r="B21" s="274"/>
      <c r="C21" s="374"/>
      <c r="D21" s="274"/>
      <c r="E21" s="274"/>
      <c r="F21" s="274"/>
      <c r="G21" s="274"/>
      <c r="H21" s="274"/>
      <c r="I21" s="274"/>
    </row>
    <row r="22" ht="15">
      <c r="A22" s="274"/>
      <c r="B22" s="274"/>
      <c r="C22" s="374"/>
      <c r="D22" s="274"/>
      <c r="E22" s="274"/>
      <c r="F22" s="274"/>
      <c r="G22" s="274"/>
      <c r="H22" s="274"/>
      <c r="I22" s="274"/>
    </row>
    <row r="23" ht="15">
      <c r="A23" s="274"/>
      <c r="B23" s="274"/>
      <c r="C23" s="374"/>
      <c r="D23" s="274"/>
      <c r="E23" s="274"/>
      <c r="F23" s="274"/>
      <c r="G23" s="274"/>
      <c r="H23" s="274"/>
      <c r="I23" s="274"/>
    </row>
    <row r="24" ht="15">
      <c r="A24" s="374"/>
      <c r="B24" s="274"/>
      <c r="C24" s="374"/>
      <c r="D24" s="274"/>
      <c r="E24" s="274"/>
      <c r="F24" s="274"/>
      <c r="G24" s="274"/>
      <c r="H24" s="274"/>
      <c r="I24" s="274"/>
    </row>
    <row r="25" ht="15">
      <c r="A25" s="274"/>
      <c r="B25" s="274"/>
      <c r="C25" s="274"/>
      <c r="D25" s="274"/>
      <c r="E25" s="274"/>
      <c r="F25" s="274"/>
      <c r="G25" s="274"/>
      <c r="H25" s="274"/>
      <c r="I25" s="274"/>
    </row>
    <row r="26">
      <c r="A26" s="374"/>
      <c r="B26" s="302"/>
      <c r="C26" s="302"/>
      <c r="D26" s="302"/>
      <c r="E26" s="302"/>
      <c r="F26" s="302"/>
      <c r="G26" s="302"/>
      <c r="H26" s="302"/>
      <c r="I26" s="302"/>
    </row>
    <row r="27">
      <c r="A27" s="302"/>
      <c r="B27" s="302"/>
      <c r="C27" s="302"/>
      <c r="D27" s="302"/>
      <c r="E27" s="302"/>
      <c r="F27" s="302"/>
      <c r="G27" s="302"/>
      <c r="H27" s="302"/>
      <c r="I27" s="302"/>
    </row>
    <row r="28">
      <c r="A28" s="382"/>
      <c r="B28" s="374"/>
      <c r="C28" s="302"/>
      <c r="D28" s="302"/>
      <c r="E28" s="302"/>
      <c r="F28" s="302"/>
      <c r="G28" s="302"/>
      <c r="H28" s="302"/>
      <c r="I28" s="302"/>
    </row>
    <row r="29">
      <c r="A29" s="302"/>
      <c r="B29" s="374"/>
      <c r="C29" s="302"/>
      <c r="D29" s="302"/>
      <c r="E29" s="302"/>
      <c r="F29" s="302"/>
      <c r="G29" s="302"/>
      <c r="H29" s="302"/>
      <c r="I29" s="302"/>
    </row>
    <row r="30">
      <c r="A30" s="302"/>
      <c r="B30" s="374"/>
      <c r="C30" s="302"/>
      <c r="D30" s="302"/>
      <c r="E30" s="302"/>
      <c r="F30" s="302"/>
      <c r="G30" s="302"/>
      <c r="H30" s="302"/>
      <c r="I30" s="302"/>
    </row>
    <row r="31">
      <c r="A31" s="302"/>
      <c r="B31" s="374"/>
      <c r="C31" s="302"/>
      <c r="D31" s="302"/>
      <c r="E31" s="302"/>
      <c r="F31" s="302"/>
      <c r="G31" s="302"/>
      <c r="H31" s="302"/>
      <c r="I31" s="302"/>
    </row>
    <row r="32" ht="15.75">
      <c r="A32" s="278"/>
      <c r="B32" s="278"/>
      <c r="C32" s="278"/>
      <c r="D32" s="278"/>
      <c r="E32" s="278"/>
      <c r="F32" s="278"/>
      <c r="G32" s="278"/>
      <c r="H32" s="302"/>
      <c r="I32" s="278"/>
    </row>
    <row r="33" ht="15.75">
      <c r="A33" s="278"/>
      <c r="B33" s="374"/>
      <c r="C33" s="278"/>
      <c r="D33" s="278"/>
      <c r="E33" s="278"/>
      <c r="F33" s="278"/>
      <c r="G33" s="278"/>
      <c r="H33" s="278"/>
      <c r="I33" s="278"/>
    </row>
    <row r="34" ht="15.75">
      <c r="A34" s="278"/>
      <c r="B34" s="278"/>
      <c r="C34" s="278"/>
      <c r="D34" s="278"/>
      <c r="E34" s="278"/>
      <c r="F34" s="278"/>
      <c r="G34" s="278"/>
      <c r="H34" s="278"/>
      <c r="I34" s="278"/>
    </row>
    <row r="35" ht="15.75">
      <c r="A35" s="374"/>
      <c r="B35" s="278"/>
      <c r="C35" s="278"/>
      <c r="D35" s="278"/>
      <c r="E35" s="278"/>
      <c r="F35" s="278"/>
      <c r="G35" s="278"/>
      <c r="H35" s="278"/>
      <c r="I35" s="278"/>
    </row>
    <row r="36" ht="15.75">
      <c r="A36" s="278"/>
      <c r="B36" s="278"/>
      <c r="C36" s="278"/>
      <c r="D36" s="302"/>
      <c r="E36" s="278"/>
      <c r="F36" s="278"/>
      <c r="G36" s="278"/>
      <c r="H36" s="278"/>
      <c r="I36" s="278"/>
    </row>
    <row r="37" ht="15.75">
      <c r="A37" s="374"/>
      <c r="B37" s="374"/>
      <c r="C37" s="374"/>
      <c r="D37" s="374"/>
      <c r="E37" s="278"/>
      <c r="F37" s="278"/>
      <c r="G37" s="278"/>
      <c r="H37" s="278"/>
      <c r="I37" s="278"/>
    </row>
    <row r="38" ht="16.5" customHeight="1">
      <c r="A38" s="374"/>
      <c r="B38" s="374"/>
      <c r="C38" s="374"/>
      <c r="D38" s="374"/>
      <c r="E38" s="278"/>
      <c r="F38" s="278"/>
      <c r="G38" s="278"/>
      <c r="H38" s="278"/>
      <c r="I38" s="278"/>
    </row>
    <row r="39" ht="15.75" customHeight="1">
      <c r="A39" s="374"/>
      <c r="B39" s="374"/>
      <c r="C39" s="374"/>
      <c r="D39" s="374"/>
      <c r="E39" s="278"/>
      <c r="F39" s="278"/>
      <c r="G39" s="278"/>
      <c r="H39" s="278"/>
      <c r="I39" s="278"/>
    </row>
    <row r="40">
      <c r="A40" s="374"/>
      <c r="B40" s="374"/>
      <c r="C40" s="374"/>
      <c r="D40" s="374"/>
      <c r="E40" s="302"/>
      <c r="F40" s="302"/>
      <c r="G40" s="302"/>
      <c r="H40" s="302"/>
      <c r="I40" s="302"/>
    </row>
    <row r="41">
      <c r="A41" s="302"/>
      <c r="B41" s="302"/>
      <c r="C41" s="302"/>
      <c r="D41" s="302"/>
      <c r="E41" s="302"/>
      <c r="F41" s="302"/>
      <c r="G41" s="302"/>
      <c r="H41" s="302"/>
      <c r="I41" s="302"/>
    </row>
    <row r="42">
      <c r="A42" s="302"/>
      <c r="B42" s="302"/>
      <c r="C42" s="302"/>
      <c r="D42" s="302"/>
      <c r="E42" s="302"/>
      <c r="F42" s="302"/>
      <c r="G42" s="302"/>
      <c r="H42" s="302"/>
      <c r="I42" s="302"/>
    </row>
    <row r="43">
      <c r="A43" s="302"/>
      <c r="B43" s="302"/>
      <c r="C43" s="302"/>
      <c r="D43" s="302"/>
      <c r="E43" s="302"/>
      <c r="F43" s="302"/>
      <c r="G43" s="302"/>
      <c r="H43" s="302"/>
      <c r="I43" s="302"/>
    </row>
    <row r="44">
      <c r="A44" s="302"/>
      <c r="B44" s="302"/>
      <c r="C44" s="302"/>
      <c r="D44" s="302"/>
      <c r="E44" s="302"/>
      <c r="F44" s="302"/>
      <c r="G44" s="302"/>
      <c r="H44" s="302"/>
      <c r="I44" s="302"/>
    </row>
    <row r="45">
      <c r="A45" s="302"/>
      <c r="B45" s="302"/>
      <c r="C45" s="302"/>
      <c r="D45" s="302"/>
      <c r="E45" s="302"/>
      <c r="F45" s="302"/>
      <c r="G45" s="302"/>
      <c r="H45" s="302"/>
      <c r="I45" s="302"/>
    </row>
    <row r="46">
      <c r="A46" s="302"/>
      <c r="B46" s="302"/>
      <c r="C46" s="302"/>
      <c r="D46" s="302"/>
      <c r="E46" s="302"/>
      <c r="F46" s="302"/>
      <c r="G46" s="302"/>
      <c r="H46" s="302"/>
      <c r="I46" s="302"/>
    </row>
    <row r="47">
      <c r="A47" s="302"/>
      <c r="B47" s="302"/>
      <c r="C47" s="302"/>
      <c r="D47" s="302"/>
      <c r="E47" s="302"/>
      <c r="F47" s="302"/>
      <c r="G47" s="302"/>
      <c r="H47" s="302"/>
      <c r="I47" s="302"/>
    </row>
    <row r="48">
      <c r="A48" s="302"/>
      <c r="B48" s="302"/>
      <c r="C48" s="302"/>
      <c r="D48" s="302"/>
      <c r="E48" s="302"/>
      <c r="F48" s="302"/>
      <c r="G48" s="302"/>
      <c r="H48" s="302"/>
      <c r="I48" s="302"/>
    </row>
    <row r="49">
      <c r="A49" s="302"/>
      <c r="B49" s="302"/>
      <c r="C49" s="302"/>
      <c r="D49" s="302"/>
      <c r="E49" s="302"/>
      <c r="F49" s="302"/>
      <c r="G49" s="302"/>
      <c r="H49" s="302"/>
      <c r="I49" s="302"/>
    </row>
    <row r="50">
      <c r="A50" s="302"/>
      <c r="B50" s="302"/>
      <c r="C50" s="302"/>
      <c r="D50" s="302"/>
      <c r="E50" s="302"/>
      <c r="F50" s="302"/>
      <c r="G50" s="302"/>
      <c r="H50" s="302"/>
      <c r="I50" s="302"/>
    </row>
    <row r="51">
      <c r="A51" s="302"/>
      <c r="B51" s="302"/>
      <c r="C51" s="302"/>
      <c r="D51" s="302"/>
      <c r="E51" s="302"/>
      <c r="F51" s="302"/>
      <c r="G51" s="302"/>
      <c r="H51" s="302"/>
      <c r="I51" s="302"/>
    </row>
    <row r="52">
      <c r="A52" s="302"/>
      <c r="B52" s="302"/>
      <c r="C52" s="302"/>
      <c r="D52" s="302"/>
      <c r="E52" s="302"/>
      <c r="F52" s="302"/>
      <c r="G52" s="302"/>
      <c r="H52" s="302"/>
      <c r="I52" s="302"/>
    </row>
    <row r="53">
      <c r="A53" s="302"/>
      <c r="B53" s="302"/>
      <c r="C53" s="302"/>
      <c r="D53" s="302"/>
      <c r="E53" s="302"/>
      <c r="F53" s="302"/>
      <c r="G53" s="302"/>
      <c r="H53" s="302"/>
      <c r="I53" s="302"/>
    </row>
    <row r="54">
      <c r="A54" s="302"/>
      <c r="B54" s="302"/>
      <c r="C54" s="302"/>
      <c r="D54" s="302"/>
      <c r="E54" s="302"/>
      <c r="F54" s="302"/>
      <c r="G54" s="302"/>
      <c r="H54" s="302"/>
      <c r="I54" s="302"/>
    </row>
    <row r="55">
      <c r="A55" s="302"/>
      <c r="B55" s="302"/>
      <c r="C55" s="302"/>
      <c r="D55" s="302"/>
      <c r="E55" s="302"/>
      <c r="F55" s="302"/>
      <c r="G55" s="302"/>
      <c r="H55" s="302"/>
      <c r="I55" s="302"/>
    </row>
    <row r="56">
      <c r="A56" s="302"/>
      <c r="B56" s="302"/>
      <c r="C56" s="302"/>
      <c r="D56" s="302"/>
      <c r="E56" s="302"/>
      <c r="F56" s="302"/>
      <c r="G56" s="302"/>
      <c r="H56" s="302"/>
      <c r="I56" s="302"/>
    </row>
    <row r="57">
      <c r="A57" s="302"/>
      <c r="B57" s="302"/>
      <c r="C57" s="302"/>
      <c r="D57" s="302"/>
      <c r="E57" s="302"/>
      <c r="F57" s="302"/>
      <c r="G57" s="302"/>
      <c r="H57" s="302"/>
      <c r="I57" s="302"/>
    </row>
    <row r="58">
      <c r="A58" s="302"/>
      <c r="B58" s="302"/>
      <c r="C58" s="302"/>
      <c r="D58" s="302"/>
      <c r="E58" s="302"/>
      <c r="F58" s="302"/>
      <c r="G58" s="302"/>
      <c r="H58" s="302"/>
      <c r="I58" s="302"/>
    </row>
    <row r="59">
      <c r="A59" s="302"/>
      <c r="B59" s="302"/>
      <c r="C59" s="302"/>
      <c r="D59" s="302"/>
      <c r="E59" s="302"/>
      <c r="F59" s="302"/>
      <c r="G59" s="302"/>
      <c r="H59" s="302"/>
      <c r="I59" s="302"/>
    </row>
    <row r="60">
      <c r="A60" s="302"/>
      <c r="B60" s="302"/>
      <c r="C60" s="302"/>
      <c r="D60" s="302"/>
      <c r="E60" s="302"/>
      <c r="F60" s="302"/>
      <c r="G60" s="302"/>
      <c r="H60" s="302"/>
      <c r="I60" s="302"/>
    </row>
    <row r="61">
      <c r="A61" s="302"/>
      <c r="B61" s="302"/>
      <c r="C61" s="302"/>
      <c r="D61" s="302"/>
      <c r="E61" s="302"/>
      <c r="F61" s="302"/>
      <c r="G61" s="302"/>
      <c r="H61" s="302"/>
      <c r="I61" s="302"/>
    </row>
    <row r="62">
      <c r="A62" s="302"/>
      <c r="B62" s="302"/>
      <c r="C62" s="302"/>
      <c r="D62" s="302"/>
      <c r="E62" s="302"/>
      <c r="F62" s="302"/>
      <c r="G62" s="302"/>
      <c r="H62" s="302"/>
      <c r="I62" s="302"/>
    </row>
    <row r="63">
      <c r="A63" s="302"/>
      <c r="B63" s="302"/>
      <c r="C63" s="302"/>
      <c r="D63" s="302"/>
      <c r="E63" s="302"/>
      <c r="F63" s="302"/>
      <c r="G63" s="302"/>
      <c r="H63" s="302"/>
      <c r="I63" s="302"/>
    </row>
    <row r="64">
      <c r="A64" s="302"/>
      <c r="B64" s="302"/>
      <c r="C64" s="302"/>
      <c r="D64" s="302"/>
      <c r="E64" s="302"/>
      <c r="F64" s="302"/>
      <c r="G64" s="302"/>
      <c r="H64" s="302"/>
      <c r="I64" s="302"/>
    </row>
    <row r="65">
      <c r="A65" s="302"/>
      <c r="B65" s="302"/>
      <c r="C65" s="302"/>
      <c r="D65" s="302"/>
      <c r="E65" s="302"/>
      <c r="F65" s="302"/>
      <c r="G65" s="302"/>
      <c r="H65" s="302"/>
      <c r="I65" s="302"/>
    </row>
    <row r="66">
      <c r="A66" s="302"/>
      <c r="B66" s="302"/>
      <c r="C66" s="302"/>
      <c r="D66" s="302"/>
      <c r="E66" s="302"/>
      <c r="F66" s="302"/>
      <c r="G66" s="302"/>
      <c r="H66" s="302"/>
      <c r="I66" s="302"/>
    </row>
    <row r="67">
      <c r="A67" s="302"/>
      <c r="B67" s="302"/>
      <c r="C67" s="302"/>
      <c r="D67" s="302"/>
      <c r="E67" s="302"/>
      <c r="F67" s="302"/>
      <c r="G67" s="302"/>
      <c r="H67" s="302"/>
      <c r="I67" s="302"/>
    </row>
    <row r="68">
      <c r="A68" s="302"/>
      <c r="B68" s="302"/>
      <c r="C68" s="302"/>
      <c r="D68" s="302"/>
      <c r="E68" s="302"/>
      <c r="F68" s="302"/>
      <c r="G68" s="302"/>
      <c r="H68" s="302"/>
      <c r="I68" s="302"/>
    </row>
    <row r="69">
      <c r="A69" s="302"/>
      <c r="B69" s="302"/>
      <c r="C69" s="302"/>
      <c r="D69" s="302"/>
      <c r="E69" s="302"/>
      <c r="F69" s="302"/>
      <c r="G69" s="302"/>
      <c r="H69" s="302"/>
      <c r="I69" s="302"/>
    </row>
    <row r="70">
      <c r="A70" s="302"/>
      <c r="B70" s="302"/>
      <c r="C70" s="302"/>
      <c r="D70" s="302"/>
      <c r="E70" s="302"/>
      <c r="F70" s="302"/>
      <c r="G70" s="302"/>
      <c r="H70" s="302"/>
      <c r="I70" s="302"/>
    </row>
    <row r="71">
      <c r="A71" s="302"/>
      <c r="B71" s="302"/>
      <c r="C71" s="302"/>
      <c r="D71" s="302"/>
      <c r="E71" s="302"/>
      <c r="F71" s="302"/>
      <c r="G71" s="302"/>
      <c r="H71" s="302"/>
      <c r="I71" s="302"/>
    </row>
    <row r="72">
      <c r="A72" s="302"/>
      <c r="B72" s="302"/>
      <c r="C72" s="302"/>
      <c r="D72" s="302"/>
      <c r="E72" s="302"/>
      <c r="F72" s="302"/>
      <c r="G72" s="302"/>
      <c r="H72" s="302"/>
      <c r="I72" s="302"/>
    </row>
    <row r="73">
      <c r="A73" s="302"/>
      <c r="B73" s="302"/>
      <c r="C73" s="302"/>
      <c r="D73" s="302"/>
      <c r="E73" s="302"/>
      <c r="F73" s="302"/>
      <c r="G73" s="302"/>
      <c r="H73" s="302"/>
      <c r="I73" s="302"/>
    </row>
    <row r="74">
      <c r="A74" s="302"/>
      <c r="B74" s="302"/>
      <c r="C74" s="302"/>
      <c r="D74" s="302"/>
      <c r="E74" s="302"/>
      <c r="F74" s="302"/>
      <c r="G74" s="302"/>
      <c r="H74" s="302"/>
      <c r="I74" s="302"/>
    </row>
    <row r="75">
      <c r="A75" s="302"/>
      <c r="B75" s="302"/>
      <c r="C75" s="302"/>
      <c r="D75" s="302"/>
      <c r="E75" s="302"/>
      <c r="F75" s="302"/>
      <c r="G75" s="302"/>
      <c r="H75" s="302"/>
      <c r="I75" s="302"/>
    </row>
    <row r="76">
      <c r="A76" s="302"/>
      <c r="B76" s="302"/>
      <c r="C76" s="302"/>
      <c r="D76" s="302"/>
      <c r="E76" s="302"/>
      <c r="F76" s="302"/>
      <c r="G76" s="302"/>
      <c r="H76" s="302"/>
      <c r="I76" s="302"/>
    </row>
    <row r="77">
      <c r="A77" s="302"/>
      <c r="B77" s="302"/>
      <c r="C77" s="302"/>
      <c r="D77" s="302"/>
      <c r="E77" s="302"/>
      <c r="F77" s="302"/>
      <c r="G77" s="302"/>
      <c r="H77" s="302"/>
      <c r="I77" s="302"/>
    </row>
    <row r="78">
      <c r="A78" s="302"/>
      <c r="B78" s="302"/>
      <c r="C78" s="302"/>
      <c r="D78" s="302"/>
      <c r="E78" s="302"/>
      <c r="F78" s="302"/>
      <c r="G78" s="302"/>
      <c r="H78" s="302"/>
      <c r="I78" s="302"/>
    </row>
    <row r="79">
      <c r="A79" s="302"/>
      <c r="B79" s="302"/>
      <c r="C79" s="302"/>
      <c r="D79" s="302"/>
      <c r="E79" s="302"/>
      <c r="F79" s="302"/>
      <c r="G79" s="302"/>
      <c r="H79" s="302"/>
      <c r="I79" s="302"/>
    </row>
    <row r="80">
      <c r="A80" s="302"/>
      <c r="B80" s="302"/>
      <c r="C80" s="302"/>
      <c r="D80" s="302"/>
      <c r="E80" s="302"/>
      <c r="F80" s="302"/>
      <c r="G80" s="302"/>
      <c r="H80" s="302"/>
      <c r="I80" s="302"/>
    </row>
    <row r="81">
      <c r="A81" s="302"/>
      <c r="B81" s="302"/>
      <c r="C81" s="302"/>
      <c r="D81" s="302"/>
      <c r="E81" s="302"/>
      <c r="F81" s="302"/>
      <c r="G81" s="302"/>
      <c r="H81" s="302"/>
      <c r="I81" s="302"/>
    </row>
    <row r="82">
      <c r="A82" s="302"/>
      <c r="B82" s="302"/>
      <c r="C82" s="302"/>
      <c r="D82" s="302"/>
      <c r="E82" s="302"/>
      <c r="F82" s="302"/>
      <c r="G82" s="302"/>
      <c r="H82" s="302"/>
      <c r="I82" s="302"/>
    </row>
    <row r="83">
      <c r="A83" s="302"/>
      <c r="B83" s="302"/>
      <c r="C83" s="302"/>
      <c r="D83" s="302"/>
      <c r="E83" s="302"/>
      <c r="F83" s="302"/>
      <c r="G83" s="302"/>
      <c r="H83" s="302"/>
      <c r="I83" s="302"/>
    </row>
    <row r="84">
      <c r="A84" s="302"/>
      <c r="B84" s="302"/>
      <c r="C84" s="302"/>
      <c r="D84" s="302"/>
      <c r="E84" s="302"/>
      <c r="F84" s="302"/>
      <c r="G84" s="302"/>
      <c r="H84" s="302"/>
      <c r="I84" s="302"/>
    </row>
    <row r="85">
      <c r="A85" s="302"/>
      <c r="B85" s="302"/>
      <c r="C85" s="302"/>
      <c r="D85" s="302"/>
      <c r="E85" s="302"/>
      <c r="F85" s="302"/>
      <c r="G85" s="302"/>
      <c r="H85" s="302"/>
      <c r="I85" s="302"/>
    </row>
    <row r="86">
      <c r="A86" s="302"/>
      <c r="B86" s="302"/>
      <c r="C86" s="302"/>
      <c r="D86" s="302"/>
      <c r="E86" s="302"/>
      <c r="F86" s="302"/>
      <c r="G86" s="302"/>
      <c r="H86" s="302"/>
      <c r="I86" s="302"/>
    </row>
    <row r="87">
      <c r="A87" s="302"/>
      <c r="B87" s="302"/>
      <c r="C87" s="302"/>
      <c r="D87" s="302"/>
      <c r="E87" s="302"/>
      <c r="F87" s="302"/>
      <c r="G87" s="302"/>
      <c r="H87" s="302"/>
      <c r="I87" s="302"/>
    </row>
    <row r="88">
      <c r="A88" s="302"/>
      <c r="B88" s="302"/>
      <c r="C88" s="302"/>
      <c r="D88" s="302"/>
      <c r="E88" s="302"/>
      <c r="F88" s="302"/>
      <c r="G88" s="302"/>
      <c r="H88" s="302"/>
      <c r="I88" s="302"/>
    </row>
    <row r="89">
      <c r="A89" s="302"/>
      <c r="B89" s="302"/>
      <c r="C89" s="302"/>
      <c r="D89" s="302"/>
      <c r="E89" s="302"/>
      <c r="F89" s="302"/>
      <c r="G89" s="302"/>
      <c r="H89" s="302"/>
      <c r="I89" s="302"/>
    </row>
    <row r="90">
      <c r="A90" s="302"/>
      <c r="B90" s="302"/>
      <c r="C90" s="302"/>
      <c r="D90" s="302"/>
      <c r="E90" s="302"/>
      <c r="F90" s="302"/>
      <c r="G90" s="302"/>
      <c r="H90" s="302"/>
      <c r="I90" s="302"/>
    </row>
    <row r="91">
      <c r="A91" s="302"/>
      <c r="B91" s="302"/>
      <c r="C91" s="302"/>
      <c r="D91" s="302"/>
      <c r="E91" s="302"/>
      <c r="F91" s="302"/>
      <c r="G91" s="302"/>
      <c r="H91" s="302"/>
      <c r="I91" s="302"/>
    </row>
    <row r="92">
      <c r="A92" s="302"/>
      <c r="B92" s="302"/>
      <c r="C92" s="302"/>
      <c r="D92" s="302"/>
      <c r="E92" s="302"/>
      <c r="F92" s="302"/>
      <c r="G92" s="302"/>
      <c r="H92" s="302"/>
      <c r="I92" s="302"/>
    </row>
    <row r="93">
      <c r="A93" s="302"/>
      <c r="B93" s="302"/>
      <c r="C93" s="302"/>
      <c r="D93" s="302"/>
      <c r="E93" s="302"/>
      <c r="F93" s="302"/>
      <c r="G93" s="302"/>
      <c r="H93" s="302"/>
      <c r="I93" s="302"/>
    </row>
    <row r="94">
      <c r="A94" s="302"/>
      <c r="B94" s="302"/>
      <c r="C94" s="302"/>
      <c r="D94" s="302"/>
      <c r="E94" s="302"/>
      <c r="F94" s="302"/>
      <c r="G94" s="302"/>
      <c r="H94" s="302"/>
      <c r="I94" s="302"/>
    </row>
    <row r="95">
      <c r="A95" s="302"/>
      <c r="B95" s="302"/>
      <c r="C95" s="302"/>
      <c r="D95" s="302"/>
      <c r="E95" s="302"/>
      <c r="F95" s="302"/>
      <c r="G95" s="302"/>
      <c r="H95" s="302"/>
      <c r="I95" s="302"/>
    </row>
    <row r="96">
      <c r="A96" s="302"/>
      <c r="B96" s="302"/>
      <c r="C96" s="302"/>
      <c r="D96" s="302"/>
      <c r="E96" s="302"/>
      <c r="F96" s="302"/>
      <c r="G96" s="302"/>
      <c r="H96" s="302"/>
      <c r="I96" s="302"/>
    </row>
    <row r="97">
      <c r="A97" s="302"/>
      <c r="B97" s="302"/>
      <c r="C97" s="302"/>
      <c r="D97" s="302"/>
      <c r="E97" s="302"/>
      <c r="F97" s="302"/>
      <c r="G97" s="302"/>
      <c r="H97" s="302"/>
      <c r="I97" s="302"/>
    </row>
    <row r="98">
      <c r="A98" s="302"/>
      <c r="B98" s="302"/>
      <c r="C98" s="302"/>
      <c r="D98" s="302"/>
      <c r="E98" s="302"/>
      <c r="F98" s="302"/>
      <c r="G98" s="302"/>
      <c r="H98" s="302"/>
      <c r="I98" s="302"/>
    </row>
    <row r="99">
      <c r="A99" s="302"/>
      <c r="B99" s="302"/>
      <c r="C99" s="302"/>
      <c r="D99" s="302"/>
      <c r="E99" s="302"/>
      <c r="F99" s="302"/>
      <c r="G99" s="302"/>
      <c r="H99" s="302"/>
      <c r="I99" s="302"/>
    </row>
    <row r="100">
      <c r="A100" s="302"/>
      <c r="B100" s="302"/>
      <c r="C100" s="302"/>
      <c r="D100" s="302"/>
      <c r="E100" s="302"/>
      <c r="F100" s="302"/>
      <c r="G100" s="302"/>
      <c r="H100" s="302"/>
      <c r="I100" s="302"/>
    </row>
    <row r="101">
      <c r="A101" s="302"/>
      <c r="B101" s="302"/>
      <c r="C101" s="302"/>
      <c r="D101" s="302"/>
      <c r="E101" s="302"/>
      <c r="F101" s="302"/>
      <c r="G101" s="302"/>
      <c r="H101" s="302"/>
      <c r="I101" s="302"/>
    </row>
    <row r="102">
      <c r="A102" s="302"/>
      <c r="B102" s="302"/>
      <c r="C102" s="302"/>
      <c r="D102" s="302"/>
      <c r="E102" s="302"/>
      <c r="F102" s="302"/>
      <c r="G102" s="302"/>
      <c r="H102" s="302"/>
      <c r="I102" s="302"/>
    </row>
    <row r="103">
      <c r="A103" s="302"/>
      <c r="B103" s="302"/>
      <c r="C103" s="302"/>
      <c r="D103" s="302"/>
      <c r="E103" s="302"/>
      <c r="F103" s="302"/>
      <c r="G103" s="302"/>
      <c r="H103" s="302"/>
      <c r="I103" s="302"/>
    </row>
  </sheetData>
  <mergeCells count="10">
    <mergeCell ref="A8:I8"/>
    <mergeCell ref="F9:I9"/>
    <mergeCell ref="C12:I12"/>
    <mergeCell ref="C17:I17"/>
    <mergeCell ref="A1:I1"/>
    <mergeCell ref="A3:I3"/>
    <mergeCell ref="A4:I4"/>
    <mergeCell ref="A5:I5"/>
    <mergeCell ref="A6:I6"/>
    <mergeCell ref="A7:I7"/>
  </mergeCells>
  <printOptions headings="0" gridLines="0" horizontalCentered="1"/>
  <pageMargins left="0.70866141732283472" right="0.70866141732283472" top="0.74803149606299213" bottom="0.74803149606299213" header="0.31496062992125984" footer="0.3149606299212598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>Grizli777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</dc:creator>
  <cp:revision>1</cp:revision>
  <dcterms:created xsi:type="dcterms:W3CDTF">2021-12-29T04:08:14Z</dcterms:created>
  <dcterms:modified xsi:type="dcterms:W3CDTF">2025-12-01T15:07:44Z</dcterms:modified>
</cp:coreProperties>
</file>