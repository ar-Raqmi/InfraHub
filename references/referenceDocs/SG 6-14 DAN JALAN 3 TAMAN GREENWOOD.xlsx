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556" windowHeight="11880" activeTab="2"/>
  </bookViews>
  <sheets>
    <sheet name="BQ" sheetId="1" r:id="rId1"/>
    <sheet name="PELARASAN" sheetId="2" r:id="rId2"/>
    <sheet name="CPC" sheetId="3" r:id="rId3"/>
    <sheet name="LOKASI" sheetId="4" r:id="rId4"/>
    <sheet name="COVER PAGE" sheetId="5" r:id="rId5"/>
    <sheet name="PRESTASI" sheetId="6" r:id="rId6"/>
  </sheets>
  <definedNames>
    <definedName name="_xlnm.Print_Area" localSheetId="0">BQ!$A$1:$K$320</definedName>
    <definedName name="_xlnm.Print_Area" localSheetId="1">PELARASAN!$A$1:$R$352</definedName>
    <definedName name="_xlnm.Print_Titles" localSheetId="1">PELARASAN!$1:$5</definedName>
    <definedName name="_Hlk181612101" localSheetId="2">CPC!#REF!</definedName>
    <definedName name="_Hlk181612101" localSheetId="4">'COVER PAGE'!#REF!</definedName>
    <definedName name="_Hlk181612101" localSheetId="5">PRESTASI!#REF!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<sst xmlns="http://schemas.openxmlformats.org/spreadsheetml/2006/main" count="632" uniqueCount="317">
  <si>
    <t>CADANGAN KERJA-KERJA MEMBAIKPULIH LONGKANG DI JALAN SG 6/14 SERTA KERJA-KERJA BERKAITAN,MUKIM BATU,DAERAH GOMBAK,SELANGOR DARUL EHSAN</t>
  </si>
  <si>
    <t>LOKASI ADUAN</t>
  </si>
  <si>
    <t>NO ADUAN</t>
  </si>
  <si>
    <t xml:space="preserve">JALAN SG 6/14 </t>
  </si>
  <si>
    <t>MPS.039608</t>
  </si>
  <si>
    <t>BIL</t>
  </si>
  <si>
    <t>KETERANGAN</t>
  </si>
  <si>
    <t>UNIT</t>
  </si>
  <si>
    <t>KUANTITI</t>
  </si>
  <si>
    <t>KADAR HARGA (RM)</t>
  </si>
  <si>
    <t>JUMLAH (RM)</t>
  </si>
  <si>
    <t>ALL QUANTITY ARE PROVISIONAL</t>
  </si>
  <si>
    <t>BIL NO. 1 - KERJA-KERJA PERMULAAN</t>
  </si>
  <si>
    <t>INSURANS</t>
  </si>
  <si>
    <t>Menyediakan polisi insuran berikut bagi merangkumi tempoh pekerjaan yang perlu</t>
  </si>
  <si>
    <t xml:space="preserve">seperti insuran tanggungan awam (Public Liability), insuran pampasan pekerja </t>
  </si>
  <si>
    <t>(Workmen's Compensation) dan SOCSO</t>
  </si>
  <si>
    <t>Nota: Liputan (coverage) minima insuran bagi pampasan adalah 30% daripada nilai</t>
  </si>
  <si>
    <t>kerja  jika sekiranya pemborong tidak dapat mengadakan Nombor Pendaftaran</t>
  </si>
  <si>
    <t>PERKESO. Liputan bagi Insurans Tanggungan Umum adalah seperti berikut :-</t>
  </si>
  <si>
    <t>i)  Bagi nilai kerja yang kurang RM 25,000.00. Liputan minima adalah RM 10,000.00</t>
  </si>
  <si>
    <t>L/S</t>
  </si>
  <si>
    <t>Bagi perkara di atas, Kontraktor adalah dikehendaki mengemukakan Nota Liputan</t>
  </si>
  <si>
    <r>
      <t>(</t>
    </r>
    <r>
      <rPr>
        <i/>
        <sz val="8"/>
        <rFont val="Arial"/>
        <charset val="134"/>
      </rPr>
      <t>Cover Note</t>
    </r>
    <r>
      <rPr>
        <sz val="8"/>
        <rFont val="Arial"/>
        <charset val="134"/>
      </rPr>
      <t>) bagi polisi-polisi insuran dan resit-resit premium yang telah dibayar,</t>
    </r>
  </si>
  <si>
    <t>bagi tujuan memulakan kerja.</t>
  </si>
  <si>
    <t>PELAN PENGURUSAN LALULINTAS (TRAFFIC MANAGEMENT)</t>
  </si>
  <si>
    <t>Membekal dan menyediakan jentera alat pengangkutan pekerja, papan tanda isyarat</t>
  </si>
  <si>
    <t>lalu lintas sementara, papan tanda 'Awas kerja-kerja sedang dilaksanakan di hadapan,</t>
  </si>
  <si>
    <t xml:space="preserve">segala kesulitan amat dikesali', papan tanda projek mudah alih yang merangkumi maklumat </t>
  </si>
  <si>
    <t>nama kontraktor, no untuk dihubungi, tarikh mula, tarikh siap serta lampu waktu malam</t>
  </si>
  <si>
    <t>dan kawalan lalu lintas yang mencukupi pada setiap masa mengikut arahan Pegawai</t>
  </si>
  <si>
    <r>
      <t>Penguatkuasa termasuk pengurusan lalulintas (</t>
    </r>
    <r>
      <rPr>
        <i/>
        <sz val="8"/>
        <rFont val="Arial"/>
        <charset val="134"/>
      </rPr>
      <t>Traffic Management</t>
    </r>
    <r>
      <rPr>
        <sz val="8"/>
        <rFont val="Arial"/>
        <charset val="134"/>
      </rPr>
      <t>).</t>
    </r>
  </si>
  <si>
    <t>LAPORAN BERGAMBAR</t>
  </si>
  <si>
    <t>Membekalkan laporan bergambar mengikut proses pembinaan pada waktu sebelum mula</t>
  </si>
  <si>
    <t>kerja, semasa kerja dan selepas siap kerja serta soft copy dalam bentuk thumb drive.</t>
  </si>
  <si>
    <t>TO COLLECTION</t>
  </si>
  <si>
    <t>BIL NO.2- BUTIRAN KERJA LONGKANG</t>
  </si>
  <si>
    <t>KERJA PENGOREKAN</t>
  </si>
  <si>
    <t>Kerja-kerja menggali dan membuang tembok longkang sedia ada tidak melebihi 1500mm</t>
  </si>
  <si>
    <t>ukuran termasuk membuang sisa di tempat yang dibenarkan oleh pegawai penguasa.</t>
  </si>
  <si>
    <t>i) Dengan tangan</t>
  </si>
  <si>
    <t>m(P) X</t>
  </si>
  <si>
    <t>m(L) X</t>
  </si>
  <si>
    <t>m(T)</t>
  </si>
  <si>
    <t>m³</t>
  </si>
  <si>
    <t>LEAN CONCRETE</t>
  </si>
  <si>
    <t xml:space="preserve">Kerja-kerja membekal dan memadat konkrit tidak bertetulang (Site Mixed) gred 15 </t>
  </si>
  <si>
    <t>(1:2:4-9mm) 75mm purata tebal lantai atau batu baur (ikut kesesuaian tanah) untuk</t>
  </si>
  <si>
    <t xml:space="preserve">tapak asas longkang. (Lean Concrete) </t>
  </si>
  <si>
    <t xml:space="preserve">m(L) </t>
  </si>
  <si>
    <t>m²</t>
  </si>
  <si>
    <t>REINFORCEMENT</t>
  </si>
  <si>
    <t>Kerja-kerja membekal, memasang, membengkok dan memotong kepingan jejaring (BRC)</t>
  </si>
  <si>
    <t>No. B7 atau tetulang keluli dikimpal berbentuk jejaring 100mm x 200mm, beratnya 4.53kg</t>
  </si>
  <si>
    <t>setiap meter persegi. (BRC B7)</t>
  </si>
  <si>
    <t>m(T) X</t>
  </si>
  <si>
    <t>FORMWORK</t>
  </si>
  <si>
    <t>Kerja-kerja membekal, memotong dan memasang acuan konkrit daripada papan tidak berketam</t>
  </si>
  <si>
    <t>pada muka-muka yang pugak (Vertical) termasuk kerja-kerja menanggal dan membuang.</t>
  </si>
  <si>
    <t>i) 2 kali penggunaan - (21m ke atas)</t>
  </si>
  <si>
    <t xml:space="preserve">m(T)X </t>
  </si>
  <si>
    <t>KONKRIT</t>
  </si>
  <si>
    <t>Kerja-kerja membekal, menuang dan memadat konkrit Ready Mixed/tuang disitu gred 20</t>
  </si>
  <si>
    <t>bertetulang tuang disitu untuk lantai dan tembok longkang tebal 100mm/150mm/</t>
  </si>
  <si>
    <t>Ready Mixed/tuang disitu.</t>
  </si>
  <si>
    <t xml:space="preserve">i)   100mm tebal (Tuang Disitu) </t>
  </si>
  <si>
    <t>LONGKANG JENIS TEMBIKAR (CLAY)</t>
  </si>
  <si>
    <t>Kerja-kerja membekal dan memasang longkang jenis separuh bulatan jenis tembikar</t>
  </si>
  <si>
    <t xml:space="preserve">bergilap (HRGW) dan di sambung dengan simen motar 1:3 saiz :- </t>
  </si>
  <si>
    <t>i)   225mm</t>
  </si>
  <si>
    <t>m</t>
  </si>
  <si>
    <t>KERJA-KERJA AKHIR</t>
  </si>
  <si>
    <t>Kerja-kerja akhir pembersihan sisa bahan binaan dan dibuang ke tempat yang  dibenarkan.</t>
  </si>
  <si>
    <t>i)  Nilai Kerja RM20,000.01 sehingga RM50,000.00.</t>
  </si>
  <si>
    <t>BIL NO.3 - BUTIRAN KERJA LALUAN MASUK/KELUAR</t>
  </si>
  <si>
    <t>MEMBUAT KERJA-KERJA KONKRIT SEDIA ADA</t>
  </si>
  <si>
    <t>Memecah atau merobohkan konkrit sedia ada dan membaiki semula mana-mana</t>
  </si>
  <si>
    <t>bahagian rosak, tidak melebihi 300mm tebal.</t>
  </si>
  <si>
    <t>i) dengan tetulang</t>
  </si>
  <si>
    <t xml:space="preserve">m(L) X </t>
  </si>
  <si>
    <t>pada muka-muka yang ufuk (Horizontal) termasuk kerja-kerja menanggal dan</t>
  </si>
  <si>
    <t>membuang.</t>
  </si>
  <si>
    <t>Kerja-kerja membekal, memasang, membengkok dan memotong tetulang keluli Y10 yang diikat</t>
  </si>
  <si>
    <t xml:space="preserve">rapi berbentuk segiempat bersaiz 200mm x 200mm beserta Concrete Spacer, beratnya </t>
  </si>
  <si>
    <t>6.16kg setiap meter persegi sebanyak 2 lapisan.</t>
  </si>
  <si>
    <t>BIL NO.4 - BUTIRAN KERJA PENUTUP LONGKANG</t>
  </si>
  <si>
    <t>IRON ANGLE STEEL FRAME</t>
  </si>
  <si>
    <t>sebagai perlindungan kepada penutup longkang serta kerja-kerja berkaitan bersaiz :-</t>
  </si>
  <si>
    <t>i)  400mm x 600mm x 75mm</t>
  </si>
  <si>
    <t>NOS</t>
  </si>
  <si>
    <t>PENUTUP LONGKANG JENIS COMPRESSED CONCRETE</t>
  </si>
  <si>
    <t>Kerja-kerja membekal dan memasang Compressed Concrete Heavy Duty with</t>
  </si>
  <si>
    <t xml:space="preserve">Drain Hole bersaiz :-  </t>
  </si>
  <si>
    <t>i)    400mm x 600mm x 75mm</t>
  </si>
  <si>
    <t>Sebelum kerja-kerja dimulakan pemborong dikehendaki melawat tapak bersama dengan Penolong Jurutera kawasan</t>
  </si>
  <si>
    <t xml:space="preserve">untuk mempastikan tempat dan menyelesaikan masalah berbangkit di tapak sebelum memulakan kerja. Kontraktor </t>
  </si>
  <si>
    <t xml:space="preserve">adalah dikecualikan daripada mengemukakkan Bon Perlaksanaan.Walaubagaimanapun, tempoh tanggungan kecacatan </t>
  </si>
  <si>
    <t>seperti di bawah juga dikenakan kepada kontraktor dan syarat ini hendaklah dinyatakan dalam surat tawaran.</t>
  </si>
  <si>
    <t>( Rujuk Kementerian Kewangan Surat Pekeliling Perbendaharaan Bil 3 Tahun 2007)</t>
  </si>
  <si>
    <t>Nilai Projek</t>
  </si>
  <si>
    <t>Tempoh Tanggungan kecacatan</t>
  </si>
  <si>
    <t xml:space="preserve">RM 10, 000 - RM 100,000 </t>
  </si>
  <si>
    <t>6 Bulan dari tarikh kerja diperakukan siap</t>
  </si>
  <si>
    <t>Melebihi RM 100,000</t>
  </si>
  <si>
    <t>12 bulan dari tarikh kerja diperakukan siap</t>
  </si>
  <si>
    <t xml:space="preserve">Disediakan oleh  </t>
  </si>
  <si>
    <t>Disemak oleh,</t>
  </si>
  <si>
    <t>CADANGAN KERJA-KERJA MEMBAIKPULIH LONGKANG DI JALAN ZAMRUD DAN KERJA MEMBAIKPULIH PAPAN TANDA DI JALAN BERJAYA  SERTA KERJA-KERJA BERKAITAN,MUKIM BATU,DAERAH GOMBAK,SELANGOR DARUL EHSAN</t>
  </si>
  <si>
    <t>MPS 26909</t>
  </si>
  <si>
    <t>JALAN ZAMRUD</t>
  </si>
  <si>
    <t>AM</t>
  </si>
  <si>
    <t>JALAN BERJAYA</t>
  </si>
  <si>
    <t>A</t>
  </si>
  <si>
    <r>
      <rPr>
        <sz val="24"/>
        <rFont val="Arial"/>
        <charset val="134"/>
      </rPr>
      <t xml:space="preserve">seperti insuran tanggungan awam </t>
    </r>
    <r>
      <rPr>
        <i/>
        <sz val="24"/>
        <rFont val="Arial"/>
        <charset val="134"/>
      </rPr>
      <t>(Public Liability)</t>
    </r>
    <r>
      <rPr>
        <sz val="24"/>
        <rFont val="Arial"/>
        <charset val="134"/>
      </rPr>
      <t xml:space="preserve">, insuran pampasan pekerja </t>
    </r>
  </si>
  <si>
    <r>
      <rPr>
        <i/>
        <sz val="24"/>
        <rFont val="Arial"/>
        <charset val="134"/>
      </rPr>
      <t>(Workmen's Compensation)</t>
    </r>
    <r>
      <rPr>
        <sz val="24"/>
        <rFont val="Arial"/>
        <charset val="134"/>
      </rPr>
      <t xml:space="preserve"> dan </t>
    </r>
    <r>
      <rPr>
        <i/>
        <sz val="24"/>
        <rFont val="Arial"/>
        <charset val="134"/>
      </rPr>
      <t>SOCSO</t>
    </r>
  </si>
  <si>
    <r>
      <rPr>
        <sz val="24"/>
        <rFont val="Arial"/>
        <charset val="134"/>
      </rPr>
      <t xml:space="preserve">Nota: Liputan </t>
    </r>
    <r>
      <rPr>
        <i/>
        <sz val="24"/>
        <rFont val="Arial"/>
        <charset val="134"/>
      </rPr>
      <t>(coverage)</t>
    </r>
    <r>
      <rPr>
        <sz val="24"/>
        <rFont val="Arial"/>
        <charset val="134"/>
      </rPr>
      <t xml:space="preserve"> minima insuran bagi pampasan adalah 30% daripada nilai</t>
    </r>
  </si>
  <si>
    <t>i.  Bagi nilai kerja yang kurang RM 25,000.00. Liputan minima adalah RM 10,000.00</t>
  </si>
  <si>
    <t xml:space="preserve">ii. Bagi nilai kerja diantara RM25,000.00 hingga RM 50,000.00. Liputan minima </t>
  </si>
  <si>
    <t xml:space="preserve">    adalah RM 25,000.00</t>
  </si>
  <si>
    <t>iii. Bagi nilai kerja diantara RM50,000.00 hingga RM 100,000.00. Liputan minima</t>
  </si>
  <si>
    <t xml:space="preserve">     adalah RM 50,000.00</t>
  </si>
  <si>
    <r>
      <rPr>
        <i/>
        <sz val="24"/>
        <rFont val="Arial"/>
        <charset val="134"/>
      </rPr>
      <t>(Cover Note)</t>
    </r>
    <r>
      <rPr>
        <sz val="24"/>
        <rFont val="Arial"/>
        <charset val="134"/>
      </rPr>
      <t xml:space="preserve"> bagi polisi-polisi insuran dan resit-resit premium yang telah dibayar,</t>
    </r>
  </si>
  <si>
    <t>B</t>
  </si>
  <si>
    <r>
      <rPr>
        <b/>
        <u/>
        <sz val="24"/>
        <rFont val="Arial"/>
        <charset val="134"/>
      </rPr>
      <t xml:space="preserve">PELAN PENGURUSAN LALULINTAS </t>
    </r>
    <r>
      <rPr>
        <b/>
        <i/>
        <u/>
        <sz val="24"/>
        <rFont val="Arial"/>
        <charset val="134"/>
      </rPr>
      <t>(TRAFFIC MANAGEMENT)</t>
    </r>
  </si>
  <si>
    <r>
      <rPr>
        <sz val="24"/>
        <rFont val="Arial"/>
        <charset val="134"/>
      </rPr>
      <t>Penguatkuasa termasuk pengurusan lalulintas</t>
    </r>
    <r>
      <rPr>
        <i/>
        <sz val="24"/>
        <rFont val="Arial"/>
        <charset val="134"/>
      </rPr>
      <t xml:space="preserve"> (Traffic Management)</t>
    </r>
    <r>
      <rPr>
        <sz val="24"/>
        <rFont val="Arial"/>
        <charset val="134"/>
      </rPr>
      <t>.</t>
    </r>
  </si>
  <si>
    <r>
      <rPr>
        <sz val="24"/>
        <rFont val="Arial"/>
        <charset val="134"/>
      </rPr>
      <t xml:space="preserve">kerja, semasa kerja dan selepas siap kerja serta </t>
    </r>
    <r>
      <rPr>
        <i/>
        <sz val="24"/>
        <rFont val="Arial"/>
        <charset val="134"/>
      </rPr>
      <t>soft copy</t>
    </r>
    <r>
      <rPr>
        <sz val="24"/>
        <rFont val="Arial"/>
        <charset val="134"/>
      </rPr>
      <t xml:space="preserve"> dalam bentuk </t>
    </r>
    <r>
      <rPr>
        <i/>
        <sz val="24"/>
        <rFont val="Arial"/>
        <charset val="134"/>
      </rPr>
      <t>thumb drive.</t>
    </r>
  </si>
  <si>
    <t>BIL NO.2- BUTIRAN KERJA BAIKPULIH LONGKANG</t>
  </si>
  <si>
    <t xml:space="preserve"> JALAN ZAMRUD</t>
  </si>
  <si>
    <t>ii) Dengan tangan</t>
  </si>
  <si>
    <t>M(P)</t>
  </si>
  <si>
    <t>X</t>
  </si>
  <si>
    <t>M(L)</t>
  </si>
  <si>
    <t>M(T)</t>
  </si>
  <si>
    <t>M3</t>
  </si>
  <si>
    <r>
      <rPr>
        <b/>
        <u/>
        <sz val="24"/>
        <rFont val="Arial"/>
        <charset val="134"/>
      </rPr>
      <t>PEMBENTUNG/</t>
    </r>
    <r>
      <rPr>
        <b/>
        <i/>
        <u/>
        <sz val="24"/>
        <rFont val="Arial"/>
        <charset val="134"/>
      </rPr>
      <t>BOX CULVERT</t>
    </r>
  </si>
  <si>
    <r>
      <rPr>
        <sz val="24"/>
        <rFont val="Arial"/>
        <charset val="134"/>
      </rPr>
      <t xml:space="preserve">Kerja-kerja membekal dan memasang  pembentung kekotak </t>
    </r>
    <r>
      <rPr>
        <i/>
        <sz val="24"/>
        <rFont val="Arial"/>
        <charset val="134"/>
      </rPr>
      <t xml:space="preserve">(Box Culvert) with Dry weather </t>
    </r>
  </si>
  <si>
    <r>
      <rPr>
        <i/>
        <sz val="24"/>
        <rFont val="Arial"/>
        <charset val="134"/>
      </rPr>
      <t>flow</t>
    </r>
    <r>
      <rPr>
        <sz val="24"/>
        <rFont val="Arial"/>
        <charset val="134"/>
      </rPr>
      <t xml:space="preserve"> termasuk penutup dan kerja-kerja konkrit 1:2:4 - 19mm agg sebagai asas.</t>
    </r>
  </si>
  <si>
    <t>iii. 600mm x 600mm</t>
  </si>
  <si>
    <t>M</t>
  </si>
  <si>
    <t>C</t>
  </si>
  <si>
    <t>SUMP</t>
  </si>
  <si>
    <t>Kerja-kerja membina lurang tidak lebih 1200mm dalam termasuk penggalian membentuk 100mm</t>
  </si>
  <si>
    <r>
      <rPr>
        <sz val="24"/>
        <rFont val="Arial"/>
        <charset val="134"/>
      </rPr>
      <t xml:space="preserve">asas konkrit (1:3:6-38mm) membuat rusuk </t>
    </r>
    <r>
      <rPr>
        <i/>
        <sz val="24"/>
        <rFont val="Arial"/>
        <charset val="134"/>
      </rPr>
      <t>(Benching)</t>
    </r>
    <r>
      <rPr>
        <sz val="24"/>
        <rFont val="Arial"/>
        <charset val="134"/>
      </rPr>
      <t xml:space="preserve"> dan saluran-saluran membina 115mm</t>
    </r>
  </si>
  <si>
    <t>dinding bata berlepa simen motar (1:3) dinding bahagian dalam dialas dengan 12mm</t>
  </si>
  <si>
    <t xml:space="preserve">tebal lepa simen dan pasir. </t>
  </si>
  <si>
    <t>iii. 900mm x 900mm</t>
  </si>
  <si>
    <t>D</t>
  </si>
  <si>
    <t>a) dengan tetulang</t>
  </si>
  <si>
    <t>-</t>
  </si>
  <si>
    <t>E</t>
  </si>
  <si>
    <r>
      <rPr>
        <sz val="24"/>
        <rFont val="Arial"/>
        <charset val="134"/>
      </rPr>
      <t xml:space="preserve">pada muka-muka yang ufuk </t>
    </r>
    <r>
      <rPr>
        <i/>
        <sz val="24"/>
        <rFont val="Arial"/>
        <charset val="134"/>
      </rPr>
      <t>(Horizontal)</t>
    </r>
    <r>
      <rPr>
        <sz val="24"/>
        <rFont val="Arial"/>
        <charset val="134"/>
      </rPr>
      <t xml:space="preserve"> termasuk kerja-kerja menanggal dan</t>
    </r>
  </si>
  <si>
    <t>M2</t>
  </si>
  <si>
    <t>F</t>
  </si>
  <si>
    <r>
      <rPr>
        <sz val="24"/>
        <rFont val="Arial"/>
        <charset val="134"/>
      </rPr>
      <t xml:space="preserve">rapi berbentuk segiempat bersaiz 200mm x 200mm beserta </t>
    </r>
    <r>
      <rPr>
        <i/>
        <sz val="24"/>
        <rFont val="Arial"/>
        <charset val="134"/>
      </rPr>
      <t>Concrete Spacer</t>
    </r>
    <r>
      <rPr>
        <sz val="24"/>
        <rFont val="Arial"/>
        <charset val="134"/>
      </rPr>
      <t xml:space="preserve">, beratnya </t>
    </r>
  </si>
  <si>
    <t>G</t>
  </si>
  <si>
    <r>
      <rPr>
        <sz val="24"/>
        <rFont val="Arial"/>
        <charset val="134"/>
      </rPr>
      <t xml:space="preserve">Kerja-kerja membekal, menuang dan memadat konkrit </t>
    </r>
    <r>
      <rPr>
        <i/>
        <sz val="24"/>
        <rFont val="Arial"/>
        <charset val="134"/>
      </rPr>
      <t>Ready Mixed</t>
    </r>
    <r>
      <rPr>
        <sz val="24"/>
        <rFont val="Arial"/>
        <charset val="134"/>
      </rPr>
      <t>/tuang disitu gred 20</t>
    </r>
  </si>
  <si>
    <r>
      <rPr>
        <i/>
        <sz val="24"/>
        <rFont val="Arial"/>
        <charset val="134"/>
      </rPr>
      <t>Ready Mixed</t>
    </r>
    <r>
      <rPr>
        <sz val="24"/>
        <rFont val="Arial"/>
        <charset val="134"/>
      </rPr>
      <t>/tuang disitu.</t>
    </r>
  </si>
  <si>
    <t xml:space="preserve">x.    200mm tebal (Tuang Disitu) </t>
  </si>
  <si>
    <t>H</t>
  </si>
  <si>
    <t>KERJA JALAN</t>
  </si>
  <si>
    <r>
      <rPr>
        <sz val="24"/>
        <rFont val="Arial"/>
        <charset val="134"/>
      </rPr>
      <t xml:space="preserve">Membekal dan memadat 50mm tebal </t>
    </r>
    <r>
      <rPr>
        <i/>
        <sz val="24"/>
        <rFont val="Arial"/>
        <charset val="134"/>
      </rPr>
      <t>(Macadam Bitumen)</t>
    </r>
    <r>
      <rPr>
        <sz val="24"/>
        <rFont val="Arial"/>
        <charset val="134"/>
      </rPr>
      <t xml:space="preserve"> ACWC 14 termasuk satu</t>
    </r>
  </si>
  <si>
    <r>
      <rPr>
        <sz val="24"/>
        <rFont val="Arial"/>
        <charset val="134"/>
      </rPr>
      <t xml:space="preserve">lapisan cecair </t>
    </r>
    <r>
      <rPr>
        <i/>
        <sz val="24"/>
        <rFont val="Arial"/>
        <charset val="134"/>
      </rPr>
      <t>(Tack Coat)</t>
    </r>
    <r>
      <rPr>
        <sz val="24"/>
        <rFont val="Arial"/>
        <charset val="134"/>
      </rPr>
      <t xml:space="preserve"> disembur pada kadar 2 liter/meter persegi dan dimampatkan</t>
    </r>
  </si>
  <si>
    <t>dengan mesin penggelek 8 tan.</t>
  </si>
  <si>
    <t>BIL NO.2- BUTIRAN KERJA BAIKPULIH LONGKANG SAMB.</t>
  </si>
  <si>
    <r>
      <rPr>
        <sz val="24"/>
        <rFont val="Arial"/>
        <charset val="134"/>
      </rPr>
      <t xml:space="preserve">Kerja-kerja membekal dan memadat konkrit tidak bertetulang </t>
    </r>
    <r>
      <rPr>
        <i/>
        <sz val="24"/>
        <rFont val="Arial"/>
        <charset val="134"/>
      </rPr>
      <t>(Site Mixed)</t>
    </r>
    <r>
      <rPr>
        <sz val="24"/>
        <rFont val="Arial"/>
        <charset val="134"/>
      </rPr>
      <t xml:space="preserve"> gred 15 </t>
    </r>
  </si>
  <si>
    <r>
      <rPr>
        <sz val="24"/>
        <rFont val="Arial"/>
        <charset val="134"/>
      </rPr>
      <t xml:space="preserve">tapak asas longkang. </t>
    </r>
    <r>
      <rPr>
        <i/>
        <sz val="24"/>
        <rFont val="Arial"/>
        <charset val="134"/>
      </rPr>
      <t xml:space="preserve">(Lean Concrete) </t>
    </r>
  </si>
  <si>
    <r>
      <rPr>
        <sz val="24"/>
        <rFont val="Arial"/>
        <charset val="134"/>
      </rPr>
      <t xml:space="preserve">Kerja-kerja membekal, memasang, membengkok dan memotong kepingan jejaring </t>
    </r>
    <r>
      <rPr>
        <i/>
        <sz val="24"/>
        <rFont val="Arial"/>
        <charset val="134"/>
      </rPr>
      <t>(BRC)</t>
    </r>
  </si>
  <si>
    <r>
      <rPr>
        <sz val="24"/>
        <rFont val="Arial"/>
        <charset val="134"/>
      </rPr>
      <t xml:space="preserve">pada muka-muka yang pugak </t>
    </r>
    <r>
      <rPr>
        <i/>
        <sz val="24"/>
        <rFont val="Arial"/>
        <charset val="134"/>
      </rPr>
      <t>(Vertical)</t>
    </r>
    <r>
      <rPr>
        <sz val="24"/>
        <rFont val="Arial"/>
        <charset val="134"/>
      </rPr>
      <t xml:space="preserve"> termasuk kerja-kerja menanggal dan membuang.</t>
    </r>
  </si>
  <si>
    <t>ii. 2 kali penggunaan - (21m ke atas)</t>
  </si>
  <si>
    <t xml:space="preserve">vi.   100mm tebal (Tuang Disitu) </t>
  </si>
  <si>
    <r>
      <rPr>
        <b/>
        <u/>
        <sz val="24"/>
        <rFont val="Arial"/>
        <charset val="134"/>
      </rPr>
      <t xml:space="preserve">LONGKANG JENIS TEMBIKAR </t>
    </r>
    <r>
      <rPr>
        <b/>
        <i/>
        <u/>
        <sz val="24"/>
        <rFont val="Arial"/>
        <charset val="134"/>
      </rPr>
      <t>(CLAY)</t>
    </r>
  </si>
  <si>
    <r>
      <rPr>
        <sz val="24"/>
        <rFont val="Arial"/>
        <charset val="134"/>
      </rPr>
      <t xml:space="preserve">bergilap </t>
    </r>
    <r>
      <rPr>
        <i/>
        <sz val="24"/>
        <rFont val="Arial"/>
        <charset val="134"/>
      </rPr>
      <t>(HRGW)</t>
    </r>
    <r>
      <rPr>
        <sz val="24"/>
        <rFont val="Arial"/>
        <charset val="134"/>
      </rPr>
      <t xml:space="preserve"> dan di sambung dengan simen motar 1:3 saiz :- </t>
    </r>
  </si>
  <si>
    <t>i.   225mm</t>
  </si>
  <si>
    <t>STRUCT</t>
  </si>
  <si>
    <t>Kerja-kerja membekal dan membina Struct konkrit bertetulang 4Y12, R6 150mm c/c termasuk</t>
  </si>
  <si>
    <t>menuang konkrit Gred 20 dan memasang papan acuan termasuk menanggal dan</t>
  </si>
  <si>
    <t xml:space="preserve">membuang serta dibina setiap 3m c/c panjang dengan kelebaran bersaiz :- </t>
  </si>
  <si>
    <t>ii.    400mm</t>
  </si>
  <si>
    <t>BIL NO.2- BUTIRAN KERJA BAIKPULIH LONGKANG SAMB.2</t>
  </si>
  <si>
    <r>
      <rPr>
        <b/>
        <u/>
        <sz val="24"/>
        <rFont val="Arial"/>
        <charset val="134"/>
      </rPr>
      <t xml:space="preserve">PENUTUP LONGKANG JENIS </t>
    </r>
    <r>
      <rPr>
        <b/>
        <i/>
        <u/>
        <sz val="24"/>
        <rFont val="Arial"/>
        <charset val="134"/>
      </rPr>
      <t>COMPRESSED CONCRETE</t>
    </r>
  </si>
  <si>
    <r>
      <rPr>
        <sz val="24"/>
        <rFont val="Arial"/>
        <charset val="134"/>
      </rPr>
      <t xml:space="preserve">Kerja-kerja membekal dan memasang </t>
    </r>
    <r>
      <rPr>
        <i/>
        <sz val="24"/>
        <rFont val="Arial"/>
        <charset val="134"/>
      </rPr>
      <t>Compressed Concrete Heavy Duty with</t>
    </r>
  </si>
  <si>
    <r>
      <rPr>
        <i/>
        <sz val="24"/>
        <rFont val="Arial"/>
        <charset val="134"/>
      </rPr>
      <t>Drain Hole</t>
    </r>
    <r>
      <rPr>
        <sz val="24"/>
        <rFont val="Arial"/>
        <charset val="134"/>
      </rPr>
      <t xml:space="preserve"> bersaiz :-  </t>
    </r>
  </si>
  <si>
    <t>vii.   300mm x 900mm x 50mm</t>
  </si>
  <si>
    <t>xii.    400mm x 600mm x 100mm</t>
  </si>
  <si>
    <r>
      <rPr>
        <sz val="24"/>
        <rFont val="Arial"/>
        <charset val="134"/>
      </rPr>
      <t xml:space="preserve">Kerja-kerja membekal dan memasang </t>
    </r>
    <r>
      <rPr>
        <i/>
        <sz val="24"/>
        <rFont val="Arial"/>
        <charset val="134"/>
      </rPr>
      <t>Iron Angle Steel Frame</t>
    </r>
    <r>
      <rPr>
        <sz val="24"/>
        <rFont val="Arial"/>
        <charset val="134"/>
      </rPr>
      <t xml:space="preserve"> dengan ketebalan 5mm</t>
    </r>
  </si>
  <si>
    <t>xv.   400mm x 600mm x 100mm</t>
  </si>
  <si>
    <t>ii.  Nilai Kerja RM20,000.01 sehingga RM50,000.00.</t>
  </si>
  <si>
    <t>BIL NO.3- BUTIRAN KERJA PAPAN TANDA</t>
  </si>
  <si>
    <t>JALAN BERJAYA 5</t>
  </si>
  <si>
    <t>PAPAN TANDA NAMA JALAN</t>
  </si>
  <si>
    <t>Kerja-kerja membekal dan memasang papan tanda baru nama jalan (huruf depan &amp;</t>
  </si>
  <si>
    <t xml:space="preserve">belakang) serta membuka semula papantanda sedia ada seperti spesifikasi </t>
  </si>
  <si>
    <t xml:space="preserve">berikut :-  </t>
  </si>
  <si>
    <r>
      <rPr>
        <sz val="24"/>
        <rFont val="Arial"/>
        <charset val="134"/>
      </rPr>
      <t xml:space="preserve">(a.)  </t>
    </r>
    <r>
      <rPr>
        <i/>
        <sz val="24"/>
        <rFont val="Arial"/>
        <charset val="134"/>
      </rPr>
      <t>Board</t>
    </r>
    <r>
      <rPr>
        <sz val="24"/>
        <rFont val="Arial"/>
        <charset val="134"/>
      </rPr>
      <t xml:space="preserve">   -   3.2mm </t>
    </r>
    <r>
      <rPr>
        <i/>
        <sz val="24"/>
        <rFont val="Arial"/>
        <charset val="134"/>
      </rPr>
      <t>thick Fibre Board</t>
    </r>
  </si>
  <si>
    <r>
      <rPr>
        <sz val="24"/>
        <rFont val="Arial"/>
        <charset val="134"/>
      </rPr>
      <t xml:space="preserve">(b.)  </t>
    </r>
    <r>
      <rPr>
        <i/>
        <sz val="24"/>
        <rFont val="Arial"/>
        <charset val="134"/>
      </rPr>
      <t>Board Size</t>
    </r>
    <r>
      <rPr>
        <sz val="24"/>
        <rFont val="Arial"/>
        <charset val="134"/>
      </rPr>
      <t xml:space="preserve">   -   1000mm x 270mm </t>
    </r>
    <r>
      <rPr>
        <i/>
        <sz val="24"/>
        <rFont val="Arial"/>
        <charset val="134"/>
      </rPr>
      <t>(Blue)</t>
    </r>
  </si>
  <si>
    <r>
      <rPr>
        <sz val="24"/>
        <rFont val="Arial"/>
        <charset val="134"/>
      </rPr>
      <t xml:space="preserve">(c.)  </t>
    </r>
    <r>
      <rPr>
        <i/>
        <sz val="24"/>
        <rFont val="Arial"/>
        <charset val="134"/>
      </rPr>
      <t>Frame</t>
    </r>
    <r>
      <rPr>
        <sz val="24"/>
        <rFont val="Arial"/>
        <charset val="134"/>
      </rPr>
      <t xml:space="preserve">   -   30mm x 38mm x 4mm </t>
    </r>
    <r>
      <rPr>
        <i/>
        <sz val="24"/>
        <rFont val="Arial"/>
        <charset val="134"/>
      </rPr>
      <t>S.H.S</t>
    </r>
  </si>
  <si>
    <r>
      <rPr>
        <sz val="24"/>
        <rFont val="Arial"/>
        <charset val="134"/>
      </rPr>
      <t xml:space="preserve">(d.)  </t>
    </r>
    <r>
      <rPr>
        <i/>
        <sz val="24"/>
        <rFont val="Arial"/>
        <charset val="134"/>
      </rPr>
      <t>Font Sticker Backdrop</t>
    </r>
    <r>
      <rPr>
        <sz val="24"/>
        <rFont val="Arial"/>
        <charset val="134"/>
      </rPr>
      <t xml:space="preserve">   -   </t>
    </r>
    <r>
      <rPr>
        <i/>
        <sz val="24"/>
        <rFont val="Arial"/>
        <charset val="134"/>
      </rPr>
      <t>Oracle (White and Red)</t>
    </r>
  </si>
  <si>
    <r>
      <rPr>
        <sz val="24"/>
        <rFont val="Arial"/>
        <charset val="134"/>
      </rPr>
      <t xml:space="preserve">(e.)  Emblem MPS </t>
    </r>
    <r>
      <rPr>
        <i/>
        <sz val="24"/>
        <rFont val="Arial"/>
        <charset val="134"/>
      </rPr>
      <t>Sticker Backdrop</t>
    </r>
    <r>
      <rPr>
        <sz val="24"/>
        <rFont val="Arial"/>
        <charset val="134"/>
      </rPr>
      <t xml:space="preserve">   -   </t>
    </r>
    <r>
      <rPr>
        <i/>
        <sz val="24"/>
        <rFont val="Arial"/>
        <charset val="134"/>
      </rPr>
      <t>3M Reflective (Yellow)</t>
    </r>
  </si>
  <si>
    <r>
      <rPr>
        <sz val="24"/>
        <rFont val="Arial"/>
        <charset val="134"/>
      </rPr>
      <t xml:space="preserve">(f.)   </t>
    </r>
    <r>
      <rPr>
        <i/>
        <sz val="24"/>
        <rFont val="Arial"/>
        <charset val="134"/>
      </rPr>
      <t>Font Sticker</t>
    </r>
    <r>
      <rPr>
        <sz val="24"/>
        <rFont val="Arial"/>
        <charset val="134"/>
      </rPr>
      <t xml:space="preserve">   -   </t>
    </r>
    <r>
      <rPr>
        <i/>
        <sz val="24"/>
        <rFont val="Arial"/>
        <charset val="134"/>
      </rPr>
      <t>3M Engineering Grade (Reflected)</t>
    </r>
  </si>
  <si>
    <r>
      <rPr>
        <sz val="24"/>
        <rFont val="Arial"/>
        <charset val="134"/>
      </rPr>
      <t xml:space="preserve">(g.)  </t>
    </r>
    <r>
      <rPr>
        <i/>
        <sz val="24"/>
        <rFont val="Arial"/>
        <charset val="134"/>
      </rPr>
      <t>Sticker Lining</t>
    </r>
    <r>
      <rPr>
        <sz val="24"/>
        <rFont val="Arial"/>
        <charset val="134"/>
      </rPr>
      <t xml:space="preserve">   -   </t>
    </r>
    <r>
      <rPr>
        <i/>
        <sz val="24"/>
        <rFont val="Arial"/>
        <charset val="134"/>
      </rPr>
      <t>3M Engineering Grade (White Reflected)</t>
    </r>
  </si>
  <si>
    <r>
      <rPr>
        <sz val="24"/>
        <rFont val="Arial"/>
        <charset val="134"/>
      </rPr>
      <t xml:space="preserve">(h.)  </t>
    </r>
    <r>
      <rPr>
        <i/>
        <sz val="24"/>
        <rFont val="Arial"/>
        <charset val="134"/>
      </rPr>
      <t>Post welded with plate (Hot Dipped Galvanized)</t>
    </r>
  </si>
  <si>
    <r>
      <rPr>
        <sz val="24"/>
        <color theme="1"/>
        <rFont val="Arial"/>
        <charset val="134"/>
      </rPr>
      <t xml:space="preserve">       </t>
    </r>
    <r>
      <rPr>
        <i/>
        <sz val="24"/>
        <rFont val="Arial"/>
        <charset val="134"/>
      </rPr>
      <t>Post</t>
    </r>
    <r>
      <rPr>
        <sz val="24"/>
        <rFont val="Arial"/>
        <charset val="134"/>
      </rPr>
      <t xml:space="preserve"> - 75mm (diameter) x 3m (</t>
    </r>
    <r>
      <rPr>
        <i/>
        <sz val="24"/>
        <rFont val="Arial"/>
        <charset val="134"/>
      </rPr>
      <t>embedded</t>
    </r>
    <r>
      <rPr>
        <sz val="24"/>
        <rFont val="Arial"/>
        <charset val="134"/>
      </rPr>
      <t xml:space="preserve"> 0.425m)</t>
    </r>
  </si>
  <si>
    <r>
      <rPr>
        <sz val="24"/>
        <color theme="1"/>
        <rFont val="Arial"/>
        <charset val="134"/>
      </rPr>
      <t xml:space="preserve">       </t>
    </r>
    <r>
      <rPr>
        <i/>
        <sz val="24"/>
        <rFont val="Arial"/>
        <charset val="134"/>
      </rPr>
      <t>Plate</t>
    </r>
    <r>
      <rPr>
        <sz val="24"/>
        <rFont val="Arial"/>
        <charset val="134"/>
      </rPr>
      <t xml:space="preserve"> - 150mm(L) x 150mm(W) x 5mm(D)</t>
    </r>
  </si>
  <si>
    <r>
      <rPr>
        <sz val="24"/>
        <rFont val="Arial"/>
        <charset val="134"/>
      </rPr>
      <t>(i.)   Emblem   -   150mm x 150mm</t>
    </r>
    <r>
      <rPr>
        <i/>
        <sz val="24"/>
        <rFont val="Arial"/>
        <charset val="134"/>
      </rPr>
      <t xml:space="preserve"> Tranparent Sheet Silk Screen Coloured</t>
    </r>
  </si>
  <si>
    <r>
      <rPr>
        <sz val="24"/>
        <rFont val="Arial"/>
        <charset val="134"/>
      </rPr>
      <t xml:space="preserve">(j.)   </t>
    </r>
    <r>
      <rPr>
        <i/>
        <sz val="24"/>
        <rFont val="Arial"/>
        <charset val="134"/>
      </rPr>
      <t>Angle Iron Bracket</t>
    </r>
    <r>
      <rPr>
        <sz val="24"/>
        <rFont val="Arial"/>
        <charset val="134"/>
      </rPr>
      <t xml:space="preserve">   -   38mm x 38mm </t>
    </r>
    <r>
      <rPr>
        <i/>
        <sz val="24"/>
        <rFont val="Arial"/>
        <charset val="134"/>
      </rPr>
      <t xml:space="preserve"> (Hot Dipped Galvanized)</t>
    </r>
  </si>
  <si>
    <r>
      <rPr>
        <sz val="24"/>
        <rFont val="Arial"/>
        <charset val="134"/>
      </rPr>
      <t xml:space="preserve">(k.)  </t>
    </r>
    <r>
      <rPr>
        <i/>
        <sz val="24"/>
        <rFont val="Arial"/>
        <charset val="134"/>
      </rPr>
      <t>Dome &amp; Ring</t>
    </r>
    <r>
      <rPr>
        <sz val="24"/>
        <rFont val="Arial"/>
        <charset val="134"/>
      </rPr>
      <t xml:space="preserve">   -   75mm diameter </t>
    </r>
    <r>
      <rPr>
        <i/>
        <sz val="24"/>
        <rFont val="Arial"/>
        <charset val="134"/>
      </rPr>
      <t xml:space="preserve"> (Hot Dipped Galvanized)</t>
    </r>
  </si>
  <si>
    <r>
      <rPr>
        <sz val="24"/>
        <rFont val="Arial"/>
        <charset val="134"/>
      </rPr>
      <t xml:space="preserve">(l.)   </t>
    </r>
    <r>
      <rPr>
        <i/>
        <sz val="24"/>
        <rFont val="Arial"/>
        <charset val="134"/>
      </rPr>
      <t>Footing Size</t>
    </r>
    <r>
      <rPr>
        <sz val="24"/>
        <rFont val="Arial"/>
        <charset val="134"/>
      </rPr>
      <t xml:space="preserve">   -   250mm(L) x 250mm (W) x 425mm (D)</t>
    </r>
  </si>
  <si>
    <t>(m)  Kaedah Penanaman   -   Penggunaan Mesin Gerudi dengan Saiz Korekan 250mm</t>
  </si>
  <si>
    <r>
      <rPr>
        <sz val="24"/>
        <rFont val="Arial"/>
        <charset val="134"/>
      </rPr>
      <t xml:space="preserve">         atau </t>
    </r>
    <r>
      <rPr>
        <i/>
        <sz val="24"/>
        <rFont val="Arial"/>
        <charset val="134"/>
      </rPr>
      <t>Precast Concrete</t>
    </r>
    <r>
      <rPr>
        <sz val="24"/>
        <rFont val="Arial"/>
        <charset val="134"/>
      </rPr>
      <t xml:space="preserve"> bersaiz 250mm(L) x 250mm (W) x 425mm (D)</t>
    </r>
  </si>
  <si>
    <t>(Rujuk Lukisan Spesifikasi - sila dapatkan lukisan daripada Jabatan Kejuruteraan)</t>
  </si>
  <si>
    <t>Termasuk mengecat keseluruhan permukaan tiang dan papan tanda dengan cat anti</t>
  </si>
  <si>
    <t>pelekat sebanyak 2 lapisan.</t>
  </si>
  <si>
    <t>JALAN TC 2B/1</t>
  </si>
  <si>
    <t>PAPAN TANDA KESELAMATAN/PEMBERITAHUAN JALAN RAYA</t>
  </si>
  <si>
    <t xml:space="preserve">Kerja-kerja membekal dan memasang papan tanda baru serta membuka semula </t>
  </si>
  <si>
    <t>membuka semula papan tanda sedia ada, mengikut spesifikasi berikut dan arahan</t>
  </si>
  <si>
    <t>pegawai penguasa :-</t>
  </si>
  <si>
    <r>
      <rPr>
        <sz val="24"/>
        <rFont val="Arial"/>
        <charset val="134"/>
      </rPr>
      <t xml:space="preserve">(a.) </t>
    </r>
    <r>
      <rPr>
        <i/>
        <sz val="24"/>
        <rFont val="Arial"/>
        <charset val="134"/>
      </rPr>
      <t>Sticker Backdrop</t>
    </r>
    <r>
      <rPr>
        <sz val="24"/>
        <rFont val="Arial"/>
        <charset val="134"/>
      </rPr>
      <t xml:space="preserve"> dan Logo dari jenis </t>
    </r>
    <r>
      <rPr>
        <b/>
        <i/>
        <sz val="24"/>
        <rFont val="Arial"/>
        <charset val="134"/>
      </rPr>
      <t>3M Diamond Reflected</t>
    </r>
  </si>
  <si>
    <r>
      <rPr>
        <sz val="24"/>
        <rFont val="Arial"/>
        <charset val="134"/>
      </rPr>
      <t xml:space="preserve">(b.) </t>
    </r>
    <r>
      <rPr>
        <i/>
        <sz val="24"/>
        <rFont val="Arial"/>
        <charset val="134"/>
      </rPr>
      <t>Board</t>
    </r>
    <r>
      <rPr>
        <sz val="24"/>
        <rFont val="Arial"/>
        <charset val="134"/>
      </rPr>
      <t xml:space="preserve"> 3.2mm </t>
    </r>
    <r>
      <rPr>
        <b/>
        <i/>
        <sz val="24"/>
        <rFont val="Arial"/>
        <charset val="134"/>
      </rPr>
      <t>Fibre Board/Archylic</t>
    </r>
  </si>
  <si>
    <r>
      <rPr>
        <sz val="24"/>
        <color theme="1"/>
        <rFont val="Arial"/>
        <charset val="134"/>
      </rPr>
      <t xml:space="preserve">(c.)  </t>
    </r>
    <r>
      <rPr>
        <i/>
        <sz val="24"/>
        <rFont val="Arial"/>
        <charset val="134"/>
      </rPr>
      <t>Post</t>
    </r>
    <r>
      <rPr>
        <sz val="24"/>
        <rFont val="Arial"/>
        <charset val="134"/>
      </rPr>
      <t xml:space="preserve"> </t>
    </r>
    <r>
      <rPr>
        <i/>
        <sz val="24"/>
        <rFont val="Arial"/>
        <charset val="134"/>
      </rPr>
      <t>welded with plate</t>
    </r>
    <r>
      <rPr>
        <sz val="24"/>
        <rFont val="Arial"/>
        <charset val="134"/>
      </rPr>
      <t xml:space="preserve"> (</t>
    </r>
    <r>
      <rPr>
        <i/>
        <sz val="24"/>
        <rFont val="Arial"/>
        <charset val="134"/>
      </rPr>
      <t>Hot Dipped Galvanized)</t>
    </r>
  </si>
  <si>
    <r>
      <rPr>
        <sz val="24"/>
        <rFont val="Arial"/>
        <charset val="134"/>
      </rPr>
      <t xml:space="preserve">(d.) </t>
    </r>
    <r>
      <rPr>
        <i/>
        <sz val="24"/>
        <rFont val="Arial"/>
        <charset val="134"/>
      </rPr>
      <t>Sticker Lining</t>
    </r>
    <r>
      <rPr>
        <sz val="24"/>
        <rFont val="Arial"/>
        <charset val="134"/>
      </rPr>
      <t xml:space="preserve">   -  </t>
    </r>
    <r>
      <rPr>
        <b/>
        <i/>
        <sz val="24"/>
        <rFont val="Arial"/>
        <charset val="134"/>
      </rPr>
      <t xml:space="preserve"> 3M Engineering Grade</t>
    </r>
  </si>
  <si>
    <r>
      <rPr>
        <sz val="24"/>
        <rFont val="Arial"/>
        <charset val="134"/>
      </rPr>
      <t xml:space="preserve">(e.) </t>
    </r>
    <r>
      <rPr>
        <i/>
        <sz val="24"/>
        <rFont val="Arial"/>
        <charset val="134"/>
      </rPr>
      <t>Sticker Font/Symbol</t>
    </r>
    <r>
      <rPr>
        <sz val="24"/>
        <rFont val="Arial"/>
        <charset val="134"/>
      </rPr>
      <t xml:space="preserve">   -  </t>
    </r>
    <r>
      <rPr>
        <b/>
        <i/>
        <sz val="24"/>
        <rFont val="Arial"/>
        <charset val="134"/>
      </rPr>
      <t xml:space="preserve"> 3M Engineering Grade</t>
    </r>
  </si>
  <si>
    <r>
      <rPr>
        <sz val="24"/>
        <rFont val="Arial"/>
        <charset val="134"/>
      </rPr>
      <t xml:space="preserve">(f.)  </t>
    </r>
    <r>
      <rPr>
        <i/>
        <sz val="24"/>
        <rFont val="Arial"/>
        <charset val="134"/>
      </rPr>
      <t>Footing Size</t>
    </r>
    <r>
      <rPr>
        <sz val="24"/>
        <rFont val="Arial"/>
        <charset val="134"/>
      </rPr>
      <t xml:space="preserve">   -   250mm(L) x 250mm (W) x 425mm (D)</t>
    </r>
  </si>
  <si>
    <t>(i)  Kaedah Penanaman   -   Penggunaan Mesin Gerudi dengan Saiz Korekan 250mm</t>
  </si>
  <si>
    <r>
      <rPr>
        <sz val="24"/>
        <rFont val="Arial"/>
        <charset val="134"/>
      </rPr>
      <t xml:space="preserve">     atau </t>
    </r>
    <r>
      <rPr>
        <i/>
        <sz val="24"/>
        <rFont val="Arial"/>
        <charset val="134"/>
      </rPr>
      <t>Precast Concrete</t>
    </r>
    <r>
      <rPr>
        <sz val="24"/>
        <rFont val="Arial"/>
        <charset val="134"/>
      </rPr>
      <t xml:space="preserve"> bersaiz 250mm(L) x 250mm (W) x 425mm (D)</t>
    </r>
  </si>
  <si>
    <t>xiv. DLL - Size 600mm x 600mm PARKING OKU</t>
  </si>
  <si>
    <t>GARISAN JALAN YANG LAIN</t>
  </si>
  <si>
    <r>
      <rPr>
        <sz val="24"/>
        <color theme="1"/>
        <rFont val="Arial"/>
        <charset val="134"/>
      </rPr>
      <t xml:space="preserve">iii. Petak </t>
    </r>
    <r>
      <rPr>
        <i/>
        <sz val="24"/>
        <rFont val="Arial"/>
        <charset val="134"/>
      </rPr>
      <t>Parking</t>
    </r>
    <r>
      <rPr>
        <sz val="24"/>
        <rFont val="Arial"/>
        <charset val="134"/>
      </rPr>
      <t xml:space="preserve"> OKU</t>
    </r>
  </si>
  <si>
    <t>JUMLAH TAMBAHAN</t>
  </si>
  <si>
    <t>PELARASAN JUMLAH HARGA KONTRAK</t>
  </si>
  <si>
    <t>JUMLAH DIBAYAR KEPADA KONTRAKTOR</t>
  </si>
  <si>
    <t>HARGA KONTRAK</t>
  </si>
  <si>
    <t>PENAMBAHAN</t>
  </si>
  <si>
    <t>WANG TAHANAN</t>
  </si>
  <si>
    <t>LAD</t>
  </si>
  <si>
    <t>LOC</t>
  </si>
  <si>
    <t>JUMLAH SEBENAR</t>
  </si>
  <si>
    <t xml:space="preserve">Nilai Projek                                                         </t>
  </si>
  <si>
    <t xml:space="preserve">RM 10, 000 - RM 100,000                                </t>
  </si>
  <si>
    <t xml:space="preserve">Melebihi RM 100,000                                       </t>
  </si>
  <si>
    <t>KERAJAAN MALAYSIA</t>
  </si>
  <si>
    <t>MAJLIS PERBANDARAN SELAYANG</t>
  </si>
  <si>
    <t>PERAKUAN SIAP KERJA</t>
  </si>
  <si>
    <t>(CERTIFICATE OF PRACTICAL COMPLETION)</t>
  </si>
  <si>
    <t>Rujukan :  Bil (    ) MPS 28/PLP-301/24</t>
  </si>
  <si>
    <t>Majlis Perbandaran Selayang</t>
  </si>
  <si>
    <t xml:space="preserve">Persiaran 3,Bandar Baru Selayang,
68100 Batu Caves,
Selangor Darul Ehsan </t>
  </si>
  <si>
    <t>Kepada :</t>
  </si>
  <si>
    <t>ASDA ENTERPRISE</t>
  </si>
  <si>
    <t>22 NOVEMBER 2024</t>
  </si>
  <si>
    <t xml:space="preserve">      </t>
  </si>
  <si>
    <t>No. 28A,Jalan 26,
Selayang Baru,
68100 Batu Caves,
Selangor Darul Ehsan.</t>
  </si>
  <si>
    <t xml:space="preserve">  Berdaftar dengan CIDB dalam Gred “ G1 ”</t>
  </si>
  <si>
    <t xml:space="preserve">  No. Sebutharga :  MPS/SH/192/23</t>
  </si>
  <si>
    <r>
      <rPr>
        <sz val="12"/>
        <color theme="1"/>
        <rFont val="Arial"/>
        <charset val="134"/>
      </rPr>
      <t>Sebutharga Untuk :</t>
    </r>
    <r>
      <rPr>
        <b/>
        <sz val="12"/>
        <rFont val="Arial"/>
        <charset val="134"/>
      </rPr>
      <t>CADANGAN KERJA-KERJA MEMBAIKPULIH LONGKANG DI SK TAMAN SERTA KERJA-KERJA BERKAITAN,MUKIM BATU,DAERAH GOMBAK,SELANGOR DARUL EHSAN</t>
    </r>
  </si>
  <si>
    <t xml:space="preserve">Menurut Syarat-Syarat Kontrak, dan tertakluk kepada penyiapan berkaitan dengan </t>
  </si>
  <si>
    <t xml:space="preserve">pembaikan apa-apa kecacatan, ketidaksempurnaan, kesusutan atau apa-apa dan yang </t>
  </si>
  <si>
    <t xml:space="preserve">mungkin terzahir  dalam Tempoh Tanggungan Kecacatan maka adalah dengan ini di </t>
  </si>
  <si>
    <t xml:space="preserve">perakui bahawa seluruh Kerja yang tersebut telah siap sejajar dengan syarat-syarat </t>
  </si>
  <si>
    <r>
      <t xml:space="preserve">dalam Dokumen Sebut Harga pada  </t>
    </r>
    <r>
      <rPr>
        <b/>
        <sz val="12"/>
        <color theme="1"/>
        <rFont val="Arial"/>
        <charset val="134"/>
      </rPr>
      <t>22 NOVEMBER 2025</t>
    </r>
    <r>
      <rPr>
        <sz val="12"/>
        <color theme="1"/>
        <rFont val="Arial"/>
        <charset val="134"/>
      </rPr>
      <t xml:space="preserve"> dan diambil milik pada</t>
    </r>
  </si>
  <si>
    <r>
      <t>23 NOVEMBER 2025</t>
    </r>
    <r>
      <rPr>
        <sz val="12"/>
        <color theme="1"/>
        <rFont val="Arial"/>
        <charset val="134"/>
      </rPr>
      <t xml:space="preserve"> dan dengan itu Tempoh Tanggungan Kecacatan untuk kerja</t>
    </r>
  </si>
  <si>
    <r>
      <t xml:space="preserve">kerja tersebut bermula pada </t>
    </r>
    <r>
      <rPr>
        <b/>
        <sz val="12"/>
        <color theme="1"/>
        <rFont val="Arial"/>
        <charset val="134"/>
      </rPr>
      <t>23 NOVEMBER 2024</t>
    </r>
    <r>
      <rPr>
        <sz val="12"/>
        <color theme="1"/>
        <rFont val="Arial"/>
        <charset val="134"/>
      </rPr>
      <t xml:space="preserve"> dan berakhir pada  </t>
    </r>
    <r>
      <rPr>
        <b/>
        <sz val="12"/>
        <color theme="1"/>
        <rFont val="Arial"/>
        <charset val="134"/>
      </rPr>
      <t xml:space="preserve">23 MEI 2026  </t>
    </r>
  </si>
  <si>
    <t>Diperakui di tapak,</t>
  </si>
  <si>
    <t>Disahkan,</t>
  </si>
  <si>
    <t>(Penolong Jurutera/Penyelia Tapak)</t>
  </si>
  <si>
    <t>(Jurutera)</t>
  </si>
  <si>
    <t>Nama Penuh :</t>
  </si>
  <si>
    <t>Jawatan :</t>
  </si>
  <si>
    <t>LOKASI:</t>
  </si>
  <si>
    <t>MASALAH :</t>
  </si>
  <si>
    <t>KERJA MEMBAIKPULIH LONGKANG</t>
  </si>
  <si>
    <t>JABATAN KEJURUTERAAN</t>
  </si>
  <si>
    <t>Persiaran 3, Bandar Baru Selayang</t>
  </si>
  <si>
    <t>68100 Batu Caves, Selangor.</t>
  </si>
  <si>
    <t>Tel. : 03-61204897/61311426  Fax. : 03-61204879</t>
  </si>
  <si>
    <t>CADANGAN KERJA</t>
  </si>
  <si>
    <t>Tarikh</t>
  </si>
  <si>
    <t>Disember 2025</t>
  </si>
  <si>
    <t>Daripada</t>
  </si>
  <si>
    <t>Mohamad Khairul Amirin Bin Zainal Abidin</t>
  </si>
  <si>
    <t>Penolong Jurutera,</t>
  </si>
  <si>
    <t>Bahagian Infrastruktur,</t>
  </si>
  <si>
    <t>Unit Selenggara Infrastruktur.</t>
  </si>
  <si>
    <t>Kepada</t>
  </si>
  <si>
    <t>Pengarah</t>
  </si>
  <si>
    <t>Jabatan Kejuruteraan</t>
  </si>
  <si>
    <t>Tajuk</t>
  </si>
  <si>
    <t>CADANGAN KERJA-KERJA MEMBAIKPULIH LONGKANG DI JALAN SG 4/10  DAN JALAN 6/3 TAMAN SRI GOMBAK SERTA KERJA-KERJA BERKAITAN,MUKIM BATU,DAERAH GOMBAK,SELANGOR DARUL EHSAN</t>
  </si>
  <si>
    <t>Blok Perancangan</t>
  </si>
  <si>
    <t>BP 4 : SELAYANG-GOMBAK BARAT</t>
  </si>
  <si>
    <t>Zon</t>
  </si>
  <si>
    <t>Zon 4</t>
  </si>
  <si>
    <t xml:space="preserve">   Perkara di atas adalah dirujuk.</t>
  </si>
  <si>
    <t>2.</t>
  </si>
  <si>
    <r>
      <t>Cadangan Kerja-Kerja Membaikpulih Longkang Di Jalan Sg 4/10  Dan Jalan 6/3 Taman Sri Gombak Serta Kerja-Kerja Berkaitan,Mukim Batu,Daerah Gombak,Selangor Darul Ehsan</t>
    </r>
    <r>
      <rPr>
        <sz val="9"/>
        <color theme="1"/>
        <rFont val="Arial"/>
        <charset val="134"/>
      </rPr>
      <t>. Bersama-sama ini dilampirkan pelan tapak, gambar lokasi aduan serta spesifikasi kerja (BQ)</t>
    </r>
  </si>
  <si>
    <t xml:space="preserve">   Sekian, terima kasih.</t>
  </si>
  <si>
    <t xml:space="preserve">   “KITASELANGOR MAJU BERSAMA”</t>
  </si>
  <si>
    <t xml:space="preserve">   “MALAYSIA MADANI”</t>
  </si>
  <si>
    <t xml:space="preserve">   “BERKHIDMAT UNTUK NEGARA”</t>
  </si>
  <si>
    <t xml:space="preserve">   “MAMPAN  PROGRESIF SEJAHTERA”</t>
  </si>
  <si>
    <t xml:space="preserve">   Saya yang menjalankan amanah,</t>
  </si>
  <si>
    <t xml:space="preserve">   ..................................................</t>
  </si>
  <si>
    <t xml:space="preserve">   (MOHAMAD KHAIRUL AMIRIN BIN ZAINAL ABIDIN)</t>
  </si>
  <si>
    <t xml:space="preserve">   Penolong Jurutera JA 5,</t>
  </si>
  <si>
    <t xml:space="preserve">   Bahagian Infrastruktur,</t>
  </si>
  <si>
    <t xml:space="preserve">   Unit Selenggara Infrastruktur.</t>
  </si>
  <si>
    <t xml:space="preserve">    ULASAN  JURUTERA </t>
  </si>
  <si>
    <t>Anggaran Kontrak</t>
  </si>
  <si>
    <t>:</t>
  </si>
  <si>
    <t>Tempoh Kontrak</t>
  </si>
  <si>
    <t>Lantikan</t>
  </si>
  <si>
    <t xml:space="preserve">   Tandatangan  :</t>
  </si>
  <si>
    <t xml:space="preserve">   Tarikh             :</t>
  </si>
  <si>
    <t xml:space="preserve">   ULASAN PENGARAH</t>
  </si>
  <si>
    <t xml:space="preserve">   Rujuk kelulusan Jawatankuasa Sebutharga Majlis Perbandaran Selayang yang bersidang </t>
  </si>
  <si>
    <r>
      <t xml:space="preserve">   pada </t>
    </r>
    <r>
      <rPr>
        <b/>
        <sz val="11"/>
        <color theme="1"/>
        <rFont val="Arial"/>
        <charset val="134"/>
      </rPr>
      <t>17 Disember 2024</t>
    </r>
    <r>
      <rPr>
        <sz val="11"/>
        <color theme="1"/>
        <rFont val="Arial"/>
        <charset val="134"/>
      </rPr>
      <t xml:space="preserve"> dengan rotasi bagi syarikat :-</t>
    </r>
  </si>
  <si>
    <t>BORANG PRESTASI KONTRAKTOR / PEMBEKAL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</si>
</sst>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_(&quot;R&quot;* #,##0.00_);_(&quot;R&quot;* \(#,##0.00\);_(&quot;R&quot;* &quot;-&quot;??_);_(@_)"/>
    <numFmt numFmtId="179" formatCode="[$-4409]dd\ mmmm\ yyyy"/>
    <numFmt numFmtId="180" formatCode="0.0"/>
    <numFmt numFmtId="181" formatCode="_-* #,##0_-;\-* #,##0_-;_-* &quot;-&quot;??_-;_-@_-"/>
    <numFmt numFmtId="182" formatCode="_-* #,##0.0_-;\-* #,##0.0_-;_-* &quot;-&quot;??_-;_-@_-"/>
  </numFmts>
  <fonts count="68"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sz val="14"/>
      <color theme="1"/>
      <name val="Arial"/>
      <charset val="134"/>
    </font>
    <font>
      <b/>
      <sz val="10"/>
      <color theme="1"/>
      <name val="Arial"/>
      <charset val="134"/>
    </font>
    <font>
      <i/>
      <sz val="10"/>
      <color theme="1"/>
      <name val="Arial"/>
      <charset val="134"/>
    </font>
    <font>
      <i/>
      <sz val="12"/>
      <color theme="1"/>
      <name val="Arial"/>
      <charset val="134"/>
    </font>
    <font>
      <b/>
      <sz val="12"/>
      <color theme="1"/>
      <name val="Arial"/>
      <charset val="134"/>
    </font>
    <font>
      <b/>
      <i/>
      <sz val="12"/>
      <color theme="1"/>
      <name val="Arial"/>
      <charset val="134"/>
    </font>
    <font>
      <sz val="12"/>
      <color theme="1"/>
      <name val="Arial"/>
      <charset val="134"/>
    </font>
    <font>
      <sz val="10"/>
      <color theme="1"/>
      <name val="Arial"/>
      <charset val="134"/>
    </font>
    <font>
      <b/>
      <sz val="8"/>
      <color theme="1"/>
      <name val="Arial"/>
      <charset val="134"/>
    </font>
    <font>
      <i/>
      <sz val="8"/>
      <color theme="1"/>
      <name val="Arial"/>
      <charset val="134"/>
    </font>
    <font>
      <sz val="9"/>
      <color theme="1"/>
      <name val="Arial"/>
      <charset val="134"/>
    </font>
    <font>
      <b/>
      <sz val="9"/>
      <color theme="1"/>
      <name val="Arial"/>
      <charset val="134"/>
    </font>
    <font>
      <b/>
      <sz val="11"/>
      <name val="Calibri"/>
      <charset val="134"/>
    </font>
    <font>
      <b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24"/>
      <color rgb="FF0070C0"/>
      <name val="Arial"/>
      <charset val="134"/>
    </font>
    <font>
      <b/>
      <sz val="24"/>
      <color rgb="FF0070C0"/>
      <name val="Arial"/>
      <charset val="134"/>
    </font>
    <font>
      <b/>
      <sz val="24"/>
      <color indexed="2"/>
      <name val="Arial"/>
      <charset val="134"/>
    </font>
    <font>
      <sz val="24"/>
      <color theme="1"/>
      <name val="Arial"/>
      <charset val="134"/>
    </font>
    <font>
      <b/>
      <sz val="24"/>
      <color theme="1"/>
      <name val="Arial"/>
      <charset val="134"/>
    </font>
    <font>
      <b/>
      <sz val="24"/>
      <name val="Arial"/>
      <charset val="134"/>
    </font>
    <font>
      <b/>
      <u/>
      <sz val="24"/>
      <name val="Arial"/>
      <charset val="134"/>
    </font>
    <font>
      <b/>
      <i/>
      <u/>
      <sz val="24"/>
      <name val="Arial"/>
      <charset val="134"/>
    </font>
    <font>
      <sz val="24"/>
      <name val="Arial"/>
      <charset val="134"/>
    </font>
    <font>
      <b/>
      <u/>
      <sz val="24"/>
      <color theme="1"/>
      <name val="Arial"/>
      <charset val="134"/>
    </font>
    <font>
      <b/>
      <i/>
      <u/>
      <sz val="24"/>
      <color theme="1"/>
      <name val="Arial"/>
      <charset val="134"/>
    </font>
    <font>
      <b/>
      <u/>
      <sz val="24"/>
      <color rgb="FF0070C0"/>
      <name val="Arial"/>
      <charset val="134"/>
    </font>
    <font>
      <b/>
      <sz val="26"/>
      <color theme="1"/>
      <name val="Arial"/>
      <charset val="134"/>
    </font>
    <font>
      <b/>
      <sz val="26"/>
      <name val="Arial"/>
      <charset val="134"/>
    </font>
    <font>
      <b/>
      <sz val="22"/>
      <color theme="1"/>
      <name val="Arial"/>
      <charset val="134"/>
    </font>
    <font>
      <b/>
      <sz val="26"/>
      <color rgb="FF0070C0"/>
      <name val="Arial"/>
      <charset val="134"/>
    </font>
    <font>
      <b/>
      <i/>
      <u/>
      <sz val="16"/>
      <name val="Arial"/>
      <charset val="134"/>
    </font>
    <font>
      <sz val="16"/>
      <color theme="1"/>
      <name val="Arial"/>
      <charset val="134"/>
    </font>
    <font>
      <sz val="16"/>
      <name val="Arial"/>
      <charset val="134"/>
    </font>
    <font>
      <b/>
      <sz val="22"/>
      <name val="Arial"/>
      <charset val="134"/>
    </font>
    <font>
      <sz val="22"/>
      <color theme="1"/>
      <name val="Arial"/>
      <charset val="134"/>
    </font>
    <font>
      <sz val="26"/>
      <name val="Arial"/>
      <charset val="134"/>
    </font>
    <font>
      <b/>
      <sz val="8"/>
      <name val="Arial"/>
      <charset val="134"/>
    </font>
    <font>
      <sz val="8"/>
      <name val="Arial"/>
      <charset val="134"/>
    </font>
    <font>
      <b/>
      <u/>
      <sz val="8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name val="Calibri"/>
      <charset val="134"/>
    </font>
    <font>
      <i/>
      <sz val="24"/>
      <name val="Arial"/>
      <charset val="134"/>
    </font>
    <font>
      <b/>
      <sz val="12"/>
      <name val="Arial"/>
      <charset val="134"/>
    </font>
    <font>
      <b/>
      <i/>
      <sz val="24"/>
      <name val="Arial"/>
      <charset val="134"/>
    </font>
    <font>
      <i/>
      <sz val="8"/>
      <name val="Arial"/>
      <charset val="134"/>
    </font>
    <font>
      <b/>
      <sz val="11"/>
      <color theme="1"/>
      <name val="Arial"/>
      <charset val="134"/>
    </font>
  </fonts>
  <fills count="41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"/>
        <bgColor theme="0" tint="-0.1499984740745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thick">
        <color indexed="65"/>
      </bottom>
      <diagonal/>
    </border>
    <border>
      <left style="medium">
        <color indexed="65"/>
      </left>
      <right/>
      <top/>
      <bottom/>
      <diagonal/>
    </border>
    <border>
      <left style="medium">
        <color indexed="65"/>
      </left>
      <right style="medium">
        <color indexed="65"/>
      </right>
      <top style="thick">
        <color indexed="65"/>
      </top>
      <bottom style="medium">
        <color indexed="65"/>
      </bottom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theme="1"/>
      </left>
      <right style="thin">
        <color auto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theme="1"/>
      </bottom>
      <diagonal/>
    </border>
    <border>
      <left style="medium">
        <color auto="1"/>
      </left>
      <right/>
      <top style="medium">
        <color theme="1"/>
      </top>
      <bottom style="medium">
        <color auto="1"/>
      </bottom>
      <diagonal/>
    </border>
    <border>
      <left/>
      <right/>
      <top style="medium">
        <color theme="1"/>
      </top>
      <bottom style="medium">
        <color auto="1"/>
      </bottom>
      <diagonal/>
    </border>
    <border>
      <left/>
      <right style="medium">
        <color auto="1"/>
      </right>
      <top style="medium">
        <color theme="1"/>
      </top>
      <bottom style="medium">
        <color auto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9">
    <xf numFmtId="0" fontId="0" fillId="0" borderId="0"/>
    <xf numFmtId="176" fontId="0" fillId="0" borderId="0" applyFont="0" applyFill="0" applyBorder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0" fillId="10" borderId="56" applyNumberFormat="0" applyFon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57" applyNumberFormat="0" applyFill="0" applyAlignment="0" applyProtection="0">
      <alignment vertical="center"/>
    </xf>
    <xf numFmtId="0" fontId="48" fillId="0" borderId="57" applyNumberFormat="0" applyFill="0" applyAlignment="0" applyProtection="0">
      <alignment vertical="center"/>
    </xf>
    <xf numFmtId="0" fontId="49" fillId="0" borderId="58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11" borderId="59" applyNumberFormat="0" applyAlignment="0" applyProtection="0">
      <alignment vertical="center"/>
    </xf>
    <xf numFmtId="0" fontId="51" fillId="12" borderId="60" applyNumberFormat="0" applyAlignment="0" applyProtection="0">
      <alignment vertical="center"/>
    </xf>
    <xf numFmtId="0" fontId="52" fillId="12" borderId="59" applyNumberFormat="0" applyAlignment="0" applyProtection="0">
      <alignment vertical="center"/>
    </xf>
    <xf numFmtId="0" fontId="53" fillId="13" borderId="61" applyNumberFormat="0" applyAlignment="0" applyProtection="0">
      <alignment vertical="center"/>
    </xf>
    <xf numFmtId="0" fontId="54" fillId="0" borderId="62" applyNumberFormat="0" applyFill="0" applyAlignment="0" applyProtection="0">
      <alignment vertical="center"/>
    </xf>
    <xf numFmtId="0" fontId="55" fillId="0" borderId="63" applyNumberFormat="0" applyFill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7" fillId="15" borderId="0" applyNumberFormat="0" applyBorder="0" applyAlignment="0" applyProtection="0">
      <alignment vertical="center"/>
    </xf>
    <xf numFmtId="0" fontId="58" fillId="16" borderId="0" applyNumberFormat="0" applyBorder="0" applyAlignment="0" applyProtection="0">
      <alignment vertical="center"/>
    </xf>
    <xf numFmtId="0" fontId="59" fillId="17" borderId="0" applyNumberFormat="0" applyBorder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59" fillId="20" borderId="0" applyNumberFormat="0" applyBorder="0" applyAlignment="0" applyProtection="0">
      <alignment vertical="center"/>
    </xf>
    <xf numFmtId="0" fontId="59" fillId="21" borderId="0" applyNumberFormat="0" applyBorder="0" applyAlignment="0" applyProtection="0">
      <alignment vertical="center"/>
    </xf>
    <xf numFmtId="0" fontId="60" fillId="22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59" fillId="25" borderId="0" applyNumberFormat="0" applyBorder="0" applyAlignment="0" applyProtection="0">
      <alignment vertical="center"/>
    </xf>
    <xf numFmtId="0" fontId="60" fillId="26" borderId="0" applyNumberFormat="0" applyBorder="0" applyAlignment="0" applyProtection="0">
      <alignment vertical="center"/>
    </xf>
    <xf numFmtId="0" fontId="60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59" fillId="29" borderId="0" applyNumberFormat="0" applyBorder="0" applyAlignment="0" applyProtection="0">
      <alignment vertical="center"/>
    </xf>
    <xf numFmtId="0" fontId="60" fillId="30" borderId="0" applyNumberFormat="0" applyBorder="0" applyAlignment="0" applyProtection="0">
      <alignment vertical="center"/>
    </xf>
    <xf numFmtId="0" fontId="60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59" fillId="33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59" fillId="37" borderId="0" applyNumberFormat="0" applyBorder="0" applyAlignment="0" applyProtection="0">
      <alignment vertical="center"/>
    </xf>
    <xf numFmtId="0" fontId="60" fillId="38" borderId="0" applyNumberFormat="0" applyBorder="0" applyAlignment="0" applyProtection="0">
      <alignment vertical="center"/>
    </xf>
    <xf numFmtId="0" fontId="60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43" fontId="61" fillId="0" borderId="0" applyFont="0" applyFill="0" applyBorder="0" applyProtection="0"/>
    <xf numFmtId="176" fontId="61" fillId="0" borderId="0" applyFont="0" applyFill="0" applyBorder="0" applyProtection="0"/>
    <xf numFmtId="43" fontId="61" fillId="0" borderId="0" applyFont="0" applyFill="0" applyBorder="0" applyProtection="0"/>
    <xf numFmtId="43" fontId="62" fillId="0" borderId="0" applyFont="0" applyFill="0" applyBorder="0" applyProtection="0"/>
    <xf numFmtId="176" fontId="62" fillId="0" borderId="0" applyFont="0" applyFill="0" applyBorder="0" applyProtection="0"/>
    <xf numFmtId="176" fontId="61" fillId="0" borderId="0" applyFont="0" applyFill="0" applyBorder="0" applyProtection="0"/>
    <xf numFmtId="43" fontId="61" fillId="0" borderId="0" applyFont="0" applyFill="0" applyBorder="0" applyProtection="0"/>
    <xf numFmtId="176" fontId="61" fillId="0" borderId="0" applyFont="0" applyFill="0" applyBorder="0" applyProtection="0"/>
    <xf numFmtId="176" fontId="0" fillId="0" borderId="0" applyFont="0" applyFill="0" applyBorder="0" applyProtection="0"/>
    <xf numFmtId="43" fontId="0" fillId="0" borderId="0" applyFont="0" applyFill="0" applyBorder="0" applyProtection="0"/>
    <xf numFmtId="176" fontId="0" fillId="0" borderId="0" applyFont="0" applyFill="0" applyBorder="0" applyProtection="0"/>
    <xf numFmtId="43" fontId="0" fillId="0" borderId="0" applyFont="0" applyFill="0" applyBorder="0" applyProtection="0"/>
    <xf numFmtId="44" fontId="0" fillId="0" borderId="0" applyFont="0" applyFill="0" applyBorder="0" applyProtection="0"/>
    <xf numFmtId="178" fontId="61" fillId="0" borderId="0" applyFont="0" applyFill="0" applyBorder="0" applyProtection="0"/>
    <xf numFmtId="178" fontId="61" fillId="0" borderId="0" applyFont="0" applyFill="0" applyBorder="0" applyProtection="0"/>
    <xf numFmtId="178" fontId="61" fillId="0" borderId="0" applyFont="0" applyFill="0" applyBorder="0" applyProtection="0"/>
    <xf numFmtId="178" fontId="61" fillId="0" borderId="0" applyFont="0" applyFill="0" applyBorder="0" applyProtection="0"/>
    <xf numFmtId="0" fontId="61" fillId="0" borderId="0"/>
    <xf numFmtId="0" fontId="61" fillId="0" borderId="0"/>
    <xf numFmtId="0" fontId="61" fillId="0" borderId="0"/>
  </cellStyleXfs>
  <cellXfs count="39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vertical="top" wrapText="1"/>
    </xf>
    <xf numFmtId="0" fontId="9" fillId="0" borderId="0" xfId="0" applyFont="1"/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9" fontId="3" fillId="0" borderId="0" xfId="0" applyNumberFormat="1" applyFont="1" applyAlignment="1">
      <alignment horizontal="left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horizontal="left" vertical="top" wrapText="1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justify" wrapText="1"/>
    </xf>
    <xf numFmtId="0" fontId="9" fillId="0" borderId="0" xfId="0" applyFont="1" applyAlignment="1">
      <alignment horizontal="left" wrapText="1"/>
    </xf>
    <xf numFmtId="0" fontId="8" fillId="0" borderId="0" xfId="0" applyFont="1"/>
    <xf numFmtId="0" fontId="9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7" fontId="12" fillId="0" borderId="1" xfId="0" applyNumberFormat="1" applyFont="1" applyBorder="1" applyAlignment="1">
      <alignment horizontal="left" vertical="center" indent="3"/>
    </xf>
    <xf numFmtId="0" fontId="12" fillId="0" borderId="3" xfId="0" applyFont="1" applyBorder="1" applyAlignment="1">
      <alignment horizontal="left" vertical="center" indent="3"/>
    </xf>
    <xf numFmtId="0" fontId="12" fillId="0" borderId="2" xfId="0" applyFont="1" applyBorder="1" applyAlignment="1">
      <alignment horizontal="left" vertical="center" indent="3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 indent="3"/>
    </xf>
    <xf numFmtId="0" fontId="12" fillId="0" borderId="6" xfId="0" applyFont="1" applyBorder="1" applyAlignment="1">
      <alignment horizontal="left" vertical="center" indent="3"/>
    </xf>
    <xf numFmtId="0" fontId="12" fillId="0" borderId="5" xfId="0" applyFont="1" applyBorder="1" applyAlignment="1">
      <alignment horizontal="left" vertical="center" indent="3"/>
    </xf>
    <xf numFmtId="0" fontId="12" fillId="0" borderId="1" xfId="0" applyFont="1" applyBorder="1" applyAlignment="1">
      <alignment vertical="center"/>
    </xf>
    <xf numFmtId="0" fontId="12" fillId="0" borderId="2" xfId="0" applyFont="1" applyBorder="1" applyAlignment="1">
      <alignment vertical="top" wrapText="1"/>
    </xf>
    <xf numFmtId="0" fontId="12" fillId="0" borderId="3" xfId="0" applyFont="1" applyBorder="1" applyAlignment="1">
      <alignment horizontal="left" vertical="top" wrapText="1" indent="1"/>
    </xf>
    <xf numFmtId="0" fontId="12" fillId="0" borderId="2" xfId="0" applyFont="1" applyBorder="1" applyAlignment="1">
      <alignment horizontal="left" vertical="top" wrapText="1" indent="1"/>
    </xf>
    <xf numFmtId="0" fontId="12" fillId="0" borderId="7" xfId="0" applyFont="1" applyBorder="1"/>
    <xf numFmtId="0" fontId="12" fillId="0" borderId="8" xfId="0" applyFont="1" applyBorder="1"/>
    <xf numFmtId="0" fontId="12" fillId="0" borderId="0" xfId="0" applyFont="1" applyAlignment="1">
      <alignment horizontal="left" indent="1"/>
    </xf>
    <xf numFmtId="0" fontId="12" fillId="0" borderId="8" xfId="0" applyFont="1" applyBorder="1" applyAlignment="1">
      <alignment horizontal="left" indent="1"/>
    </xf>
    <xf numFmtId="0" fontId="13" fillId="0" borderId="7" xfId="0" applyFont="1" applyBorder="1" applyAlignment="1">
      <alignment vertical="center"/>
    </xf>
    <xf numFmtId="0" fontId="12" fillId="0" borderId="1" xfId="0" applyFont="1" applyBorder="1"/>
    <xf numFmtId="0" fontId="12" fillId="0" borderId="2" xfId="0" applyFont="1" applyBorder="1" applyAlignment="1">
      <alignment horizontal="justify" wrapText="1"/>
    </xf>
    <xf numFmtId="0" fontId="12" fillId="0" borderId="3" xfId="0" applyFont="1" applyBorder="1" applyAlignment="1">
      <alignment horizontal="left" wrapText="1" indent="1"/>
    </xf>
    <xf numFmtId="0" fontId="12" fillId="0" borderId="2" xfId="0" applyFont="1" applyBorder="1" applyAlignment="1">
      <alignment horizontal="left" wrapText="1" indent="1"/>
    </xf>
    <xf numFmtId="0" fontId="12" fillId="0" borderId="0" xfId="0" applyFont="1" applyAlignment="1">
      <alignment horizontal="left" indent="3"/>
    </xf>
    <xf numFmtId="0" fontId="12" fillId="0" borderId="2" xfId="0" applyFont="1" applyBorder="1"/>
    <xf numFmtId="0" fontId="13" fillId="0" borderId="1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left" vertical="center" wrapText="1" indent="1"/>
    </xf>
    <xf numFmtId="0" fontId="13" fillId="0" borderId="7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wrapText="1" indent="1"/>
    </xf>
    <xf numFmtId="0" fontId="13" fillId="0" borderId="8" xfId="0" applyFont="1" applyBorder="1" applyAlignment="1">
      <alignment horizontal="left" vertical="center" wrapText="1" indent="1"/>
    </xf>
    <xf numFmtId="0" fontId="12" fillId="0" borderId="4" xfId="0" applyFont="1" applyBorder="1"/>
    <xf numFmtId="0" fontId="12" fillId="0" borderId="5" xfId="0" applyFont="1" applyBorder="1"/>
    <xf numFmtId="0" fontId="13" fillId="0" borderId="4" xfId="0" applyFont="1" applyBorder="1" applyAlignment="1">
      <alignment horizontal="left" vertical="center" wrapText="1" indent="1"/>
    </xf>
    <xf numFmtId="0" fontId="13" fillId="0" borderId="6" xfId="0" applyFont="1" applyBorder="1" applyAlignment="1">
      <alignment horizontal="left" vertical="center" wrapText="1" indent="1"/>
    </xf>
    <xf numFmtId="0" fontId="13" fillId="0" borderId="5" xfId="0" applyFont="1" applyBorder="1" applyAlignment="1">
      <alignment horizontal="left" vertical="center" wrapText="1" indent="1"/>
    </xf>
    <xf numFmtId="0" fontId="12" fillId="0" borderId="1" xfId="0" applyFont="1" applyBorder="1" applyAlignment="1">
      <alignment horizontal="left" vertical="center" indent="1"/>
    </xf>
    <xf numFmtId="0" fontId="12" fillId="0" borderId="3" xfId="0" applyFont="1" applyBorder="1" applyAlignment="1">
      <alignment horizontal="left" vertical="center" indent="1"/>
    </xf>
    <xf numFmtId="0" fontId="12" fillId="0" borderId="2" xfId="0" applyFont="1" applyBorder="1" applyAlignment="1">
      <alignment horizontal="left" vertical="center" indent="1"/>
    </xf>
    <xf numFmtId="0" fontId="12" fillId="0" borderId="4" xfId="0" applyFont="1" applyBorder="1" applyAlignment="1">
      <alignment horizontal="left" vertical="center" indent="1"/>
    </xf>
    <xf numFmtId="0" fontId="12" fillId="0" borderId="6" xfId="0" applyFont="1" applyBorder="1" applyAlignment="1">
      <alignment horizontal="left" vertical="center" indent="1"/>
    </xf>
    <xf numFmtId="0" fontId="12" fillId="0" borderId="5" xfId="0" applyFont="1" applyBorder="1" applyAlignment="1">
      <alignment horizontal="left" vertical="center" indent="1"/>
    </xf>
    <xf numFmtId="0" fontId="12" fillId="0" borderId="0" xfId="0" applyFont="1"/>
    <xf numFmtId="0" fontId="12" fillId="0" borderId="7" xfId="0" applyFont="1" applyBorder="1" applyAlignment="1">
      <alignment horizontal="left" indent="2"/>
    </xf>
    <xf numFmtId="0" fontId="13" fillId="0" borderId="0" xfId="0" applyFont="1" applyAlignment="1">
      <alignment horizontal="justify" vertical="top" wrapText="1"/>
    </xf>
    <xf numFmtId="0" fontId="12" fillId="0" borderId="0" xfId="0" applyFont="1" applyAlignment="1">
      <alignment horizontal="justify" vertical="top" wrapText="1"/>
    </xf>
    <xf numFmtId="0" fontId="12" fillId="0" borderId="0" xfId="0" applyFont="1" applyAlignment="1">
      <alignment horizontal="justify" vertical="top"/>
    </xf>
    <xf numFmtId="0" fontId="12" fillId="0" borderId="8" xfId="0" applyFont="1" applyBorder="1" applyAlignment="1">
      <alignment horizontal="justify" vertical="top"/>
    </xf>
    <xf numFmtId="0" fontId="13" fillId="0" borderId="7" xfId="0" applyFont="1" applyBorder="1"/>
    <xf numFmtId="0" fontId="13" fillId="0" borderId="0" xfId="0" applyFont="1"/>
    <xf numFmtId="0" fontId="13" fillId="0" borderId="8" xfId="0" applyFont="1" applyBorder="1"/>
    <xf numFmtId="0" fontId="1" fillId="0" borderId="7" xfId="0" applyFont="1" applyBorder="1"/>
    <xf numFmtId="0" fontId="12" fillId="0" borderId="6" xfId="0" applyFont="1" applyBorder="1"/>
    <xf numFmtId="0" fontId="1" fillId="0" borderId="1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7" xfId="0" applyFont="1" applyBorder="1" applyAlignment="1">
      <alignment horizontal="justify" vertical="top" wrapText="1"/>
    </xf>
    <xf numFmtId="0" fontId="1" fillId="0" borderId="0" xfId="0" applyFont="1" applyAlignment="1">
      <alignment horizontal="justify" vertical="top" wrapText="1"/>
    </xf>
    <xf numFmtId="0" fontId="1" fillId="0" borderId="8" xfId="0" applyFont="1" applyBorder="1" applyAlignment="1">
      <alignment horizontal="justify" vertical="top" wrapText="1"/>
    </xf>
    <xf numFmtId="0" fontId="1" fillId="0" borderId="6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5" xfId="0" applyFont="1" applyBorder="1"/>
    <xf numFmtId="0" fontId="14" fillId="2" borderId="9" xfId="0" applyFont="1" applyFill="1" applyBorder="1" applyAlignment="1">
      <alignment horizontal="left" vertical="center" wrapText="1" readingOrder="1"/>
    </xf>
    <xf numFmtId="0" fontId="14" fillId="2" borderId="10" xfId="0" applyFont="1" applyFill="1" applyBorder="1" applyAlignment="1">
      <alignment horizontal="left" vertical="center" wrapText="1" readingOrder="1"/>
    </xf>
    <xf numFmtId="0" fontId="14" fillId="2" borderId="0" xfId="0" applyFont="1" applyFill="1" applyAlignment="1">
      <alignment horizontal="left" vertical="center" wrapText="1" readingOrder="1"/>
    </xf>
    <xf numFmtId="0" fontId="14" fillId="3" borderId="11" xfId="0" applyFont="1" applyFill="1" applyBorder="1" applyAlignment="1">
      <alignment horizontal="left" vertical="center" wrapText="1" readingOrder="1"/>
    </xf>
    <xf numFmtId="0" fontId="14" fillId="3" borderId="10" xfId="0" applyFont="1" applyFill="1" applyBorder="1" applyAlignment="1">
      <alignment horizontal="left" vertical="center" wrapText="1" readingOrder="1"/>
    </xf>
    <xf numFmtId="0" fontId="14" fillId="3" borderId="0" xfId="0" applyFont="1" applyFill="1" applyAlignment="1">
      <alignment horizontal="left" vertical="center" wrapText="1" readingOrder="1"/>
    </xf>
    <xf numFmtId="0" fontId="14" fillId="4" borderId="12" xfId="0" applyFont="1" applyFill="1" applyBorder="1" applyAlignment="1">
      <alignment horizontal="left" vertical="center" wrapText="1" readingOrder="1"/>
    </xf>
    <xf numFmtId="0" fontId="14" fillId="4" borderId="10" xfId="0" applyFont="1" applyFill="1" applyBorder="1" applyAlignment="1">
      <alignment horizontal="left" vertical="center" wrapText="1" readingOrder="1"/>
    </xf>
    <xf numFmtId="0" fontId="14" fillId="4" borderId="0" xfId="0" applyFont="1" applyFill="1" applyAlignment="1">
      <alignment horizontal="left" vertical="center" wrapText="1" readingOrder="1"/>
    </xf>
    <xf numFmtId="0" fontId="15" fillId="5" borderId="13" xfId="0" applyFont="1" applyFill="1" applyBorder="1" applyAlignment="1">
      <alignment horizontal="center"/>
    </xf>
    <xf numFmtId="0" fontId="15" fillId="5" borderId="14" xfId="0" applyFont="1" applyFill="1" applyBorder="1" applyAlignment="1">
      <alignment horizontal="center"/>
    </xf>
    <xf numFmtId="0" fontId="15" fillId="5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179" fontId="6" fillId="0" borderId="0" xfId="0" applyNumberFormat="1" applyFont="1" applyAlignment="1">
      <alignment horizontal="left"/>
    </xf>
    <xf numFmtId="0" fontId="8" fillId="0" borderId="0" xfId="0" applyFont="1" applyAlignment="1">
      <alignment horizontal="justify"/>
    </xf>
    <xf numFmtId="0" fontId="6" fillId="0" borderId="0" xfId="0" applyFont="1" applyAlignment="1">
      <alignment horizontal="justify"/>
    </xf>
    <xf numFmtId="0" fontId="8" fillId="0" borderId="0" xfId="0" applyFont="1" applyAlignment="1">
      <alignment horizontal="left"/>
    </xf>
    <xf numFmtId="0" fontId="6" fillId="0" borderId="24" xfId="0" applyFont="1" applyBorder="1"/>
    <xf numFmtId="0" fontId="6" fillId="0" borderId="25" xfId="0" applyFont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 applyAlignment="1">
      <alignment horizontal="center"/>
    </xf>
    <xf numFmtId="0" fontId="20" fillId="0" borderId="0" xfId="0" applyFont="1"/>
    <xf numFmtId="180" fontId="20" fillId="0" borderId="0" xfId="0" applyNumberFormat="1" applyFont="1"/>
    <xf numFmtId="176" fontId="20" fillId="0" borderId="0" xfId="1" applyNumberFormat="1" applyFont="1"/>
    <xf numFmtId="0" fontId="21" fillId="0" borderId="0" xfId="0" applyFont="1"/>
    <xf numFmtId="0" fontId="22" fillId="0" borderId="26" xfId="0" applyFont="1" applyBorder="1" applyAlignment="1">
      <alignment horizontal="center" vertical="center" wrapText="1"/>
    </xf>
    <xf numFmtId="0" fontId="22" fillId="0" borderId="27" xfId="0" applyFont="1" applyBorder="1" applyAlignment="1">
      <alignment horizontal="center" vertical="center" wrapText="1"/>
    </xf>
    <xf numFmtId="0" fontId="22" fillId="0" borderId="28" xfId="0" applyFont="1" applyBorder="1" applyAlignment="1">
      <alignment horizontal="center" vertical="center" wrapText="1"/>
    </xf>
    <xf numFmtId="0" fontId="22" fillId="0" borderId="29" xfId="0" applyFont="1" applyBorder="1" applyAlignment="1">
      <alignment horizontal="center" vertical="center" wrapText="1"/>
    </xf>
    <xf numFmtId="0" fontId="22" fillId="0" borderId="30" xfId="0" applyFont="1" applyBorder="1" applyAlignment="1">
      <alignment horizontal="center" vertical="center" wrapText="1"/>
    </xf>
    <xf numFmtId="0" fontId="22" fillId="0" borderId="31" xfId="0" applyFont="1" applyBorder="1" applyAlignment="1">
      <alignment horizontal="center" vertical="center" wrapText="1"/>
    </xf>
    <xf numFmtId="0" fontId="21" fillId="0" borderId="29" xfId="0" applyFont="1" applyBorder="1" applyAlignment="1">
      <alignment horizontal="center"/>
    </xf>
    <xf numFmtId="0" fontId="21" fillId="0" borderId="30" xfId="0" applyFont="1" applyBorder="1" applyAlignment="1">
      <alignment horizontal="center"/>
    </xf>
    <xf numFmtId="0" fontId="21" fillId="0" borderId="31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21" fillId="6" borderId="32" xfId="0" applyFont="1" applyFill="1" applyBorder="1" applyAlignment="1">
      <alignment horizontal="center" vertical="center"/>
    </xf>
    <xf numFmtId="0" fontId="21" fillId="6" borderId="13" xfId="0" applyFont="1" applyFill="1" applyBorder="1" applyAlignment="1">
      <alignment horizontal="center" vertical="center"/>
    </xf>
    <xf numFmtId="0" fontId="21" fillId="6" borderId="14" xfId="0" applyFont="1" applyFill="1" applyBorder="1" applyAlignment="1">
      <alignment horizontal="center" vertical="center"/>
    </xf>
    <xf numFmtId="0" fontId="21" fillId="6" borderId="30" xfId="0" applyFont="1" applyFill="1" applyBorder="1" applyAlignment="1">
      <alignment horizontal="center" vertical="center"/>
    </xf>
    <xf numFmtId="0" fontId="21" fillId="6" borderId="31" xfId="0" applyFont="1" applyFill="1" applyBorder="1" applyAlignment="1">
      <alignment horizontal="center" vertical="center"/>
    </xf>
    <xf numFmtId="0" fontId="21" fillId="6" borderId="33" xfId="0" applyFont="1" applyFill="1" applyBorder="1" applyAlignment="1">
      <alignment horizontal="center" vertical="center" wrapText="1"/>
    </xf>
    <xf numFmtId="0" fontId="21" fillId="6" borderId="29" xfId="0" applyFont="1" applyFill="1" applyBorder="1" applyAlignment="1">
      <alignment horizontal="center" vertical="center" wrapText="1"/>
    </xf>
    <xf numFmtId="0" fontId="21" fillId="6" borderId="31" xfId="0" applyFont="1" applyFill="1" applyBorder="1" applyAlignment="1">
      <alignment horizontal="center" vertical="center" wrapText="1"/>
    </xf>
    <xf numFmtId="0" fontId="21" fillId="7" borderId="34" xfId="0" applyFont="1" applyFill="1" applyBorder="1" applyAlignment="1">
      <alignment horizontal="center" vertical="center" wrapText="1"/>
    </xf>
    <xf numFmtId="0" fontId="20" fillId="0" borderId="35" xfId="0" applyFont="1" applyBorder="1" applyAlignment="1">
      <alignment horizontal="center"/>
    </xf>
    <xf numFmtId="43" fontId="23" fillId="0" borderId="36" xfId="58" applyNumberFormat="1" applyFont="1" applyBorder="1"/>
    <xf numFmtId="0" fontId="20" fillId="0" borderId="37" xfId="0" applyFont="1" applyBorder="1"/>
    <xf numFmtId="0" fontId="20" fillId="0" borderId="38" xfId="0" applyFont="1" applyBorder="1" applyAlignment="1">
      <alignment horizontal="center"/>
    </xf>
    <xf numFmtId="0" fontId="20" fillId="0" borderId="39" xfId="0" applyFont="1" applyBorder="1" applyAlignment="1">
      <alignment horizontal="center"/>
    </xf>
    <xf numFmtId="0" fontId="21" fillId="0" borderId="40" xfId="0" applyFont="1" applyBorder="1"/>
    <xf numFmtId="43" fontId="23" fillId="0" borderId="7" xfId="58" applyNumberFormat="1" applyFont="1" applyBorder="1"/>
    <xf numFmtId="43" fontId="23" fillId="0" borderId="0" xfId="58" applyNumberFormat="1" applyFont="1"/>
    <xf numFmtId="0" fontId="20" fillId="0" borderId="36" xfId="0" applyFont="1" applyBorder="1"/>
    <xf numFmtId="0" fontId="20" fillId="0" borderId="7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1" fillId="0" borderId="36" xfId="0" applyFont="1" applyBorder="1"/>
    <xf numFmtId="0" fontId="23" fillId="0" borderId="36" xfId="49" applyNumberFormat="1" applyFont="1" applyBorder="1"/>
    <xf numFmtId="43" fontId="24" fillId="0" borderId="7" xfId="58" applyNumberFormat="1" applyFont="1" applyBorder="1"/>
    <xf numFmtId="43" fontId="24" fillId="0" borderId="0" xfId="58" applyNumberFormat="1" applyFont="1"/>
    <xf numFmtId="0" fontId="22" fillId="0" borderId="35" xfId="0" applyFont="1" applyBorder="1" applyAlignment="1">
      <alignment horizontal="center"/>
    </xf>
    <xf numFmtId="0" fontId="25" fillId="0" borderId="36" xfId="49" applyNumberFormat="1" applyFont="1" applyBorder="1" applyAlignment="1">
      <alignment vertical="center"/>
    </xf>
    <xf numFmtId="0" fontId="25" fillId="0" borderId="36" xfId="49" applyNumberFormat="1" applyFont="1" applyBorder="1" applyAlignment="1">
      <alignment horizontal="left" vertical="center"/>
    </xf>
    <xf numFmtId="176" fontId="21" fillId="0" borderId="36" xfId="1" applyNumberFormat="1" applyFont="1" applyBorder="1"/>
    <xf numFmtId="176" fontId="21" fillId="0" borderId="7" xfId="1" applyNumberFormat="1" applyFont="1" applyBorder="1" applyAlignment="1">
      <alignment horizontal="center"/>
    </xf>
    <xf numFmtId="176" fontId="21" fillId="0" borderId="8" xfId="1" applyNumberFormat="1" applyFont="1" applyBorder="1" applyAlignment="1">
      <alignment horizontal="center"/>
    </xf>
    <xf numFmtId="176" fontId="21" fillId="0" borderId="7" xfId="0" applyNumberFormat="1" applyFont="1" applyBorder="1" applyAlignment="1">
      <alignment horizontal="center"/>
    </xf>
    <xf numFmtId="176" fontId="21" fillId="0" borderId="36" xfId="0" applyNumberFormat="1" applyFont="1" applyBorder="1"/>
    <xf numFmtId="0" fontId="25" fillId="0" borderId="0" xfId="0" applyFont="1" applyAlignment="1">
      <alignment vertical="top" wrapText="1"/>
    </xf>
    <xf numFmtId="0" fontId="25" fillId="0" borderId="7" xfId="49" applyNumberFormat="1" applyFont="1" applyBorder="1" applyAlignment="1">
      <alignment vertical="center"/>
    </xf>
    <xf numFmtId="0" fontId="25" fillId="0" borderId="7" xfId="49" applyNumberFormat="1" applyFont="1" applyBorder="1"/>
    <xf numFmtId="180" fontId="22" fillId="0" borderId="35" xfId="0" applyNumberFormat="1" applyFont="1" applyBorder="1" applyAlignment="1">
      <alignment horizontal="center"/>
    </xf>
    <xf numFmtId="176" fontId="21" fillId="0" borderId="32" xfId="1" applyNumberFormat="1" applyFont="1" applyBorder="1" applyAlignment="1">
      <alignment horizontal="center"/>
    </xf>
    <xf numFmtId="176" fontId="21" fillId="0" borderId="32" xfId="1" applyNumberFormat="1" applyFont="1" applyBorder="1"/>
    <xf numFmtId="0" fontId="21" fillId="6" borderId="15" xfId="0" applyFont="1" applyFill="1" applyBorder="1" applyAlignment="1">
      <alignment horizontal="center" vertical="center"/>
    </xf>
    <xf numFmtId="0" fontId="21" fillId="6" borderId="32" xfId="0" applyFont="1" applyFill="1" applyBorder="1" applyAlignment="1">
      <alignment horizontal="center" vertical="center" wrapText="1"/>
    </xf>
    <xf numFmtId="0" fontId="21" fillId="6" borderId="13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7" borderId="32" xfId="0" applyFont="1" applyFill="1" applyBorder="1" applyAlignment="1">
      <alignment horizontal="center" vertical="center" wrapText="1"/>
    </xf>
    <xf numFmtId="43" fontId="23" fillId="0" borderId="38" xfId="58" applyNumberFormat="1" applyFont="1" applyBorder="1" applyAlignment="1">
      <alignment horizontal="left"/>
    </xf>
    <xf numFmtId="43" fontId="23" fillId="0" borderId="27" xfId="58" applyNumberFormat="1" applyFont="1" applyBorder="1" applyAlignment="1">
      <alignment horizontal="left"/>
    </xf>
    <xf numFmtId="0" fontId="20" fillId="0" borderId="27" xfId="0" applyFont="1" applyBorder="1" applyAlignment="1">
      <alignment horizontal="center"/>
    </xf>
    <xf numFmtId="43" fontId="23" fillId="0" borderId="8" xfId="58" applyNumberFormat="1" applyFont="1" applyBorder="1"/>
    <xf numFmtId="0" fontId="23" fillId="0" borderId="7" xfId="49" applyNumberFormat="1" applyFont="1" applyBorder="1"/>
    <xf numFmtId="0" fontId="21" fillId="0" borderId="35" xfId="0" applyFont="1" applyBorder="1" applyAlignment="1">
      <alignment horizontal="center"/>
    </xf>
    <xf numFmtId="0" fontId="23" fillId="0" borderId="7" xfId="0" applyFont="1" applyBorder="1"/>
    <xf numFmtId="0" fontId="23" fillId="0" borderId="0" xfId="0" applyFont="1"/>
    <xf numFmtId="0" fontId="23" fillId="0" borderId="8" xfId="0" applyFont="1" applyBorder="1"/>
    <xf numFmtId="0" fontId="21" fillId="0" borderId="7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25" fillId="0" borderId="36" xfId="49" applyNumberFormat="1" applyFont="1" applyBorder="1"/>
    <xf numFmtId="0" fontId="25" fillId="0" borderId="7" xfId="58" applyNumberFormat="1" applyFont="1" applyBorder="1"/>
    <xf numFmtId="44" fontId="22" fillId="0" borderId="0" xfId="51" applyNumberFormat="1" applyFont="1"/>
    <xf numFmtId="1" fontId="22" fillId="0" borderId="0" xfId="51" applyNumberFormat="1" applyFont="1"/>
    <xf numFmtId="0" fontId="22" fillId="0" borderId="0" xfId="49" applyNumberFormat="1" applyFont="1" applyAlignment="1">
      <alignment wrapText="1"/>
    </xf>
    <xf numFmtId="2" fontId="22" fillId="0" borderId="0" xfId="1" applyNumberFormat="1" applyFont="1"/>
    <xf numFmtId="0" fontId="22" fillId="0" borderId="0" xfId="0" applyFont="1" applyAlignment="1">
      <alignment horizontal="left" wrapText="1"/>
    </xf>
    <xf numFmtId="0" fontId="18" fillId="0" borderId="35" xfId="0" applyFont="1" applyBorder="1" applyAlignment="1">
      <alignment horizontal="center"/>
    </xf>
    <xf numFmtId="44" fontId="18" fillId="0" borderId="0" xfId="51" applyNumberFormat="1" applyFont="1"/>
    <xf numFmtId="1" fontId="18" fillId="0" borderId="0" xfId="51" applyNumberFormat="1" applyFont="1"/>
    <xf numFmtId="2" fontId="18" fillId="0" borderId="0" xfId="1" applyNumberFormat="1" applyFont="1"/>
    <xf numFmtId="0" fontId="18" fillId="0" borderId="0" xfId="0" applyFont="1" applyAlignment="1">
      <alignment horizontal="left" wrapText="1"/>
    </xf>
    <xf numFmtId="0" fontId="17" fillId="0" borderId="0" xfId="0" applyFont="1" applyAlignment="1">
      <alignment horizontal="center"/>
    </xf>
    <xf numFmtId="0" fontId="18" fillId="0" borderId="36" xfId="0" applyFont="1" applyBorder="1"/>
    <xf numFmtId="176" fontId="18" fillId="0" borderId="36" xfId="0" applyNumberFormat="1" applyFont="1" applyBorder="1"/>
    <xf numFmtId="176" fontId="18" fillId="0" borderId="7" xfId="1" applyNumberFormat="1" applyFont="1" applyBorder="1" applyAlignment="1">
      <alignment horizontal="center"/>
    </xf>
    <xf numFmtId="176" fontId="18" fillId="0" borderId="8" xfId="1" applyNumberFormat="1" applyFont="1" applyBorder="1" applyAlignment="1">
      <alignment horizontal="center"/>
    </xf>
    <xf numFmtId="0" fontId="23" fillId="0" borderId="7" xfId="58" applyNumberFormat="1" applyFont="1" applyBorder="1"/>
    <xf numFmtId="0" fontId="23" fillId="0" borderId="36" xfId="58" applyNumberFormat="1" applyFont="1" applyBorder="1"/>
    <xf numFmtId="0" fontId="25" fillId="0" borderId="36" xfId="58" applyNumberFormat="1" applyFont="1" applyBorder="1"/>
    <xf numFmtId="0" fontId="25" fillId="0" borderId="36" xfId="0" applyFont="1" applyBorder="1"/>
    <xf numFmtId="0" fontId="24" fillId="0" borderId="36" xfId="58" applyNumberFormat="1" applyFont="1" applyBorder="1"/>
    <xf numFmtId="0" fontId="25" fillId="0" borderId="7" xfId="58" applyNumberFormat="1" applyFont="1" applyBorder="1" applyAlignment="1">
      <alignment horizontal="left"/>
    </xf>
    <xf numFmtId="0" fontId="25" fillId="0" borderId="0" xfId="58" applyNumberFormat="1" applyFont="1" applyAlignment="1">
      <alignment horizontal="left"/>
    </xf>
    <xf numFmtId="0" fontId="25" fillId="0" borderId="8" xfId="58" applyNumberFormat="1" applyFont="1" applyBorder="1" applyAlignment="1">
      <alignment horizontal="left"/>
    </xf>
    <xf numFmtId="0" fontId="21" fillId="0" borderId="0" xfId="1" applyNumberFormat="1" applyFont="1"/>
    <xf numFmtId="43" fontId="22" fillId="0" borderId="0" xfId="58" applyNumberFormat="1" applyFont="1"/>
    <xf numFmtId="181" fontId="21" fillId="0" borderId="36" xfId="0" applyNumberFormat="1" applyFont="1" applyBorder="1"/>
    <xf numFmtId="0" fontId="26" fillId="0" borderId="0" xfId="0" applyFont="1" applyAlignment="1">
      <alignment vertical="top" wrapText="1"/>
    </xf>
    <xf numFmtId="2" fontId="21" fillId="0" borderId="7" xfId="0" applyNumberFormat="1" applyFont="1" applyBorder="1" applyAlignment="1">
      <alignment horizontal="center"/>
    </xf>
    <xf numFmtId="2" fontId="21" fillId="0" borderId="8" xfId="0" applyNumberFormat="1" applyFont="1" applyBorder="1" applyAlignment="1">
      <alignment horizontal="center"/>
    </xf>
    <xf numFmtId="0" fontId="25" fillId="0" borderId="0" xfId="0" applyFont="1" applyAlignment="1">
      <alignment horizontal="center"/>
    </xf>
    <xf numFmtId="176" fontId="21" fillId="0" borderId="36" xfId="0" applyNumberFormat="1" applyFont="1" applyBorder="1" applyAlignment="1">
      <alignment horizontal="center" vertical="center"/>
    </xf>
    <xf numFmtId="2" fontId="22" fillId="0" borderId="0" xfId="51" applyNumberFormat="1" applyFont="1" applyAlignment="1">
      <alignment horizontal="center"/>
    </xf>
    <xf numFmtId="0" fontId="21" fillId="0" borderId="36" xfId="0" applyFont="1" applyBorder="1" applyAlignment="1">
      <alignment horizontal="center" vertical="center"/>
    </xf>
    <xf numFmtId="0" fontId="24" fillId="0" borderId="36" xfId="0" applyFont="1" applyBorder="1" applyAlignment="1">
      <alignment horizontal="left"/>
    </xf>
    <xf numFmtId="0" fontId="24" fillId="0" borderId="0" xfId="49" applyNumberFormat="1" applyFont="1"/>
    <xf numFmtId="0" fontId="25" fillId="0" borderId="36" xfId="0" applyFont="1" applyBorder="1" applyAlignment="1">
      <alignment horizontal="left" vertical="top"/>
    </xf>
    <xf numFmtId="0" fontId="25" fillId="0" borderId="0" xfId="0" applyFont="1"/>
    <xf numFmtId="0" fontId="23" fillId="0" borderId="36" xfId="0" applyFont="1" applyBorder="1"/>
    <xf numFmtId="176" fontId="20" fillId="0" borderId="0" xfId="0" applyNumberFormat="1" applyFont="1"/>
    <xf numFmtId="0" fontId="25" fillId="0" borderId="8" xfId="58" applyNumberFormat="1" applyFont="1" applyBorder="1"/>
    <xf numFmtId="2" fontId="18" fillId="0" borderId="7" xfId="0" applyNumberFormat="1" applyFont="1" applyBorder="1" applyAlignment="1">
      <alignment horizontal="center"/>
    </xf>
    <xf numFmtId="2" fontId="18" fillId="0" borderId="8" xfId="0" applyNumberFormat="1" applyFont="1" applyBorder="1" applyAlignment="1">
      <alignment horizontal="center"/>
    </xf>
    <xf numFmtId="0" fontId="27" fillId="0" borderId="0" xfId="0" applyFont="1"/>
    <xf numFmtId="0" fontId="24" fillId="0" borderId="7" xfId="58" applyNumberFormat="1" applyFont="1" applyBorder="1"/>
    <xf numFmtId="0" fontId="21" fillId="0" borderId="0" xfId="0" applyFont="1" applyAlignment="1">
      <alignment horizontal="left" wrapText="1"/>
    </xf>
    <xf numFmtId="0" fontId="25" fillId="0" borderId="7" xfId="0" applyFont="1" applyBorder="1"/>
    <xf numFmtId="0" fontId="26" fillId="0" borderId="0" xfId="0" applyFont="1"/>
    <xf numFmtId="0" fontId="18" fillId="0" borderId="7" xfId="58" applyNumberFormat="1" applyFont="1" applyBorder="1"/>
    <xf numFmtId="0" fontId="28" fillId="0" borderId="0" xfId="0" applyFont="1" applyAlignment="1">
      <alignment vertical="top" wrapText="1"/>
    </xf>
    <xf numFmtId="0" fontId="18" fillId="0" borderId="0" xfId="0" applyFont="1" applyAlignment="1">
      <alignment horizontal="center"/>
    </xf>
    <xf numFmtId="0" fontId="25" fillId="0" borderId="36" xfId="58" applyNumberFormat="1" applyFont="1" applyBorder="1" applyProtection="1"/>
    <xf numFmtId="0" fontId="19" fillId="0" borderId="35" xfId="0" applyFont="1" applyBorder="1" applyAlignment="1">
      <alignment horizontal="center"/>
    </xf>
    <xf numFmtId="0" fontId="19" fillId="0" borderId="36" xfId="0" applyFont="1" applyBorder="1" applyAlignment="1">
      <alignment horizontal="left" vertical="top"/>
    </xf>
    <xf numFmtId="44" fontId="19" fillId="0" borderId="0" xfId="51" applyNumberFormat="1" applyFont="1"/>
    <xf numFmtId="2" fontId="19" fillId="0" borderId="0" xfId="51" applyNumberFormat="1" applyFont="1" applyAlignment="1">
      <alignment horizontal="center"/>
    </xf>
    <xf numFmtId="0" fontId="19" fillId="0" borderId="0" xfId="49" applyNumberFormat="1" applyFont="1" applyAlignment="1">
      <alignment wrapText="1"/>
    </xf>
    <xf numFmtId="0" fontId="19" fillId="0" borderId="0" xfId="0" applyFont="1" applyAlignment="1">
      <alignment horizontal="center"/>
    </xf>
    <xf numFmtId="0" fontId="19" fillId="0" borderId="36" xfId="0" applyFont="1" applyBorder="1"/>
    <xf numFmtId="176" fontId="19" fillId="0" borderId="7" xfId="1" applyNumberFormat="1" applyFont="1" applyBorder="1" applyAlignment="1">
      <alignment horizontal="center"/>
    </xf>
    <xf numFmtId="176" fontId="19" fillId="0" borderId="8" xfId="1" applyNumberFormat="1" applyFont="1" applyBorder="1" applyAlignment="1">
      <alignment horizontal="center"/>
    </xf>
    <xf numFmtId="0" fontId="25" fillId="0" borderId="8" xfId="0" applyFont="1" applyBorder="1"/>
    <xf numFmtId="0" fontId="22" fillId="0" borderId="36" xfId="0" applyFont="1" applyBorder="1"/>
    <xf numFmtId="0" fontId="20" fillId="0" borderId="26" xfId="0" applyFont="1" applyBorder="1" applyAlignment="1">
      <alignment horizontal="center"/>
    </xf>
    <xf numFmtId="43" fontId="23" fillId="0" borderId="26" xfId="58" applyNumberFormat="1" applyFont="1" applyBorder="1"/>
    <xf numFmtId="43" fontId="23" fillId="0" borderId="27" xfId="58" applyNumberFormat="1" applyFont="1" applyBorder="1"/>
    <xf numFmtId="43" fontId="23" fillId="0" borderId="27" xfId="58" applyNumberFormat="1" applyFont="1" applyBorder="1" applyAlignment="1">
      <alignment horizontal="center"/>
    </xf>
    <xf numFmtId="0" fontId="20" fillId="0" borderId="41" xfId="0" applyFont="1" applyBorder="1" applyAlignment="1">
      <alignment horizontal="center"/>
    </xf>
    <xf numFmtId="0" fontId="21" fillId="0" borderId="42" xfId="0" applyFont="1" applyBorder="1"/>
    <xf numFmtId="0" fontId="20" fillId="0" borderId="43" xfId="0" applyFont="1" applyBorder="1" applyAlignment="1">
      <alignment horizontal="center"/>
    </xf>
    <xf numFmtId="0" fontId="23" fillId="0" borderId="35" xfId="49" applyNumberFormat="1" applyFont="1" applyBorder="1"/>
    <xf numFmtId="176" fontId="21" fillId="0" borderId="44" xfId="0" applyNumberFormat="1" applyFont="1" applyBorder="1" applyAlignment="1">
      <alignment horizontal="center"/>
    </xf>
    <xf numFmtId="176" fontId="21" fillId="0" borderId="34" xfId="0" applyNumberFormat="1" applyFont="1" applyBorder="1"/>
    <xf numFmtId="0" fontId="23" fillId="0" borderId="43" xfId="49" applyNumberFormat="1" applyFont="1" applyBorder="1"/>
    <xf numFmtId="0" fontId="21" fillId="0" borderId="44" xfId="0" applyFont="1" applyBorder="1" applyAlignment="1">
      <alignment horizontal="center"/>
    </xf>
    <xf numFmtId="0" fontId="21" fillId="0" borderId="34" xfId="0" applyFont="1" applyBorder="1"/>
    <xf numFmtId="0" fontId="21" fillId="0" borderId="43" xfId="0" applyFont="1" applyBorder="1" applyAlignment="1">
      <alignment horizontal="center"/>
    </xf>
    <xf numFmtId="43" fontId="23" fillId="0" borderId="43" xfId="58" applyNumberFormat="1" applyFont="1" applyBorder="1" applyAlignment="1">
      <alignment horizontal="left"/>
    </xf>
    <xf numFmtId="43" fontId="23" fillId="0" borderId="0" xfId="58" applyNumberFormat="1" applyFont="1" applyAlignment="1">
      <alignment horizontal="left"/>
    </xf>
    <xf numFmtId="0" fontId="22" fillId="0" borderId="43" xfId="0" applyFont="1" applyBorder="1" applyAlignment="1">
      <alignment horizontal="center"/>
    </xf>
    <xf numFmtId="43" fontId="23" fillId="0" borderId="43" xfId="58" applyNumberFormat="1" applyFont="1" applyBorder="1"/>
    <xf numFmtId="0" fontId="21" fillId="0" borderId="33" xfId="0" applyFont="1" applyBorder="1"/>
    <xf numFmtId="0" fontId="22" fillId="0" borderId="13" xfId="49" applyNumberFormat="1" applyFont="1" applyBorder="1" applyAlignment="1">
      <alignment horizontal="center" vertical="center"/>
    </xf>
    <xf numFmtId="0" fontId="22" fillId="0" borderId="14" xfId="49" applyNumberFormat="1" applyFont="1" applyBorder="1" applyAlignment="1">
      <alignment horizontal="center" vertical="center"/>
    </xf>
    <xf numFmtId="0" fontId="22" fillId="0" borderId="15" xfId="49" applyNumberFormat="1" applyFont="1" applyBorder="1" applyAlignment="1">
      <alignment horizontal="center" vertical="center"/>
    </xf>
    <xf numFmtId="176" fontId="21" fillId="0" borderId="32" xfId="0" applyNumberFormat="1" applyFont="1" applyBorder="1" applyAlignment="1">
      <alignment horizontal="center"/>
    </xf>
    <xf numFmtId="176" fontId="21" fillId="0" borderId="32" xfId="0" applyNumberFormat="1" applyFont="1" applyBorder="1"/>
    <xf numFmtId="176" fontId="29" fillId="0" borderId="0" xfId="1" applyNumberFormat="1" applyFont="1"/>
    <xf numFmtId="0" fontId="29" fillId="0" borderId="0" xfId="0" applyFont="1"/>
    <xf numFmtId="43" fontId="30" fillId="0" borderId="0" xfId="58" applyNumberFormat="1" applyFont="1"/>
    <xf numFmtId="2" fontId="30" fillId="0" borderId="0" xfId="51" applyNumberFormat="1" applyFont="1"/>
    <xf numFmtId="0" fontId="31" fillId="0" borderId="33" xfId="0" applyFont="1" applyBorder="1"/>
    <xf numFmtId="176" fontId="32" fillId="0" borderId="29" xfId="0" applyNumberFormat="1" applyFont="1" applyBorder="1" applyAlignment="1">
      <alignment horizontal="center"/>
    </xf>
    <xf numFmtId="0" fontId="32" fillId="0" borderId="31" xfId="0" applyFont="1" applyBorder="1" applyAlignment="1">
      <alignment horizontal="center"/>
    </xf>
    <xf numFmtId="182" fontId="29" fillId="0" borderId="0" xfId="0" applyNumberFormat="1" applyFont="1"/>
    <xf numFmtId="0" fontId="21" fillId="0" borderId="27" xfId="0" applyFont="1" applyBorder="1" applyAlignment="1">
      <alignment horizontal="center"/>
    </xf>
    <xf numFmtId="176" fontId="21" fillId="0" borderId="27" xfId="0" applyNumberFormat="1" applyFont="1" applyBorder="1" applyAlignment="1">
      <alignment horizontal="center"/>
    </xf>
    <xf numFmtId="0" fontId="25" fillId="0" borderId="0" xfId="49" applyNumberFormat="1" applyFont="1" applyAlignment="1">
      <alignment vertical="center"/>
    </xf>
    <xf numFmtId="43" fontId="33" fillId="0" borderId="0" xfId="58" applyNumberFormat="1" applyFont="1"/>
    <xf numFmtId="0" fontId="34" fillId="0" borderId="0" xfId="0" applyFont="1" applyAlignment="1">
      <alignment horizontal="center"/>
    </xf>
    <xf numFmtId="176" fontId="29" fillId="0" borderId="0" xfId="1" applyNumberFormat="1" applyFont="1" applyAlignment="1">
      <alignment horizontal="center"/>
    </xf>
    <xf numFmtId="0" fontId="35" fillId="0" borderId="0" xfId="0" applyFont="1" applyAlignment="1">
      <alignment vertical="top" wrapText="1"/>
    </xf>
    <xf numFmtId="0" fontId="31" fillId="0" borderId="30" xfId="0" applyFont="1" applyBorder="1"/>
    <xf numFmtId="176" fontId="29" fillId="0" borderId="13" xfId="0" applyNumberFormat="1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31" fillId="0" borderId="0" xfId="0" applyFont="1"/>
    <xf numFmtId="0" fontId="36" fillId="0" borderId="13" xfId="67" applyFont="1" applyBorder="1" applyAlignment="1">
      <alignment horizontal="center"/>
    </xf>
    <xf numFmtId="0" fontId="36" fillId="0" borderId="14" xfId="67" applyFont="1" applyBorder="1" applyAlignment="1">
      <alignment horizontal="center"/>
    </xf>
    <xf numFmtId="0" fontId="36" fillId="0" borderId="15" xfId="67" applyFont="1" applyBorder="1" applyAlignment="1">
      <alignment horizontal="center"/>
    </xf>
    <xf numFmtId="4" fontId="21" fillId="0" borderId="32" xfId="0" applyNumberFormat="1" applyFont="1" applyBorder="1" applyAlignment="1">
      <alignment horizontal="center"/>
    </xf>
    <xf numFmtId="176" fontId="37" fillId="0" borderId="32" xfId="1" applyNumberFormat="1" applyFont="1" applyBorder="1" applyAlignment="1">
      <alignment horizontal="center" vertical="center"/>
    </xf>
    <xf numFmtId="0" fontId="37" fillId="0" borderId="32" xfId="0" applyFont="1" applyBorder="1" applyAlignment="1">
      <alignment horizontal="center"/>
    </xf>
    <xf numFmtId="0" fontId="38" fillId="0" borderId="0" xfId="49" applyNumberFormat="1" applyFont="1" applyAlignment="1">
      <alignment vertical="center"/>
    </xf>
    <xf numFmtId="0" fontId="21" fillId="0" borderId="32" xfId="0" applyFont="1" applyBorder="1" applyAlignment="1">
      <alignment horizontal="center"/>
    </xf>
    <xf numFmtId="4" fontId="29" fillId="0" borderId="32" xfId="0" applyNumberFormat="1" applyFont="1" applyBorder="1" applyAlignment="1">
      <alignment horizontal="center"/>
    </xf>
    <xf numFmtId="2" fontId="22" fillId="0" borderId="0" xfId="51" applyNumberFormat="1" applyFont="1"/>
    <xf numFmtId="4" fontId="21" fillId="0" borderId="0" xfId="0" applyNumberFormat="1" applyFont="1"/>
    <xf numFmtId="176" fontId="21" fillId="0" borderId="0" xfId="0" applyNumberFormat="1" applyFont="1" applyAlignment="1">
      <alignment horizontal="center"/>
    </xf>
    <xf numFmtId="176" fontId="19" fillId="0" borderId="0" xfId="0" applyNumberFormat="1" applyFont="1"/>
    <xf numFmtId="0" fontId="21" fillId="0" borderId="0" xfId="0" applyFont="1" applyAlignment="1">
      <alignment horizontal="center"/>
    </xf>
    <xf numFmtId="0" fontId="25" fillId="0" borderId="0" xfId="49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1" fontId="22" fillId="0" borderId="0" xfId="51" applyNumberFormat="1" applyFont="1" applyAlignment="1">
      <alignment horizontal="center"/>
    </xf>
    <xf numFmtId="0" fontId="25" fillId="0" borderId="0" xfId="0" applyFont="1" applyAlignment="1">
      <alignment wrapText="1"/>
    </xf>
    <xf numFmtId="180" fontId="21" fillId="0" borderId="6" xfId="0" applyNumberFormat="1" applyFont="1" applyBorder="1"/>
    <xf numFmtId="0" fontId="21" fillId="0" borderId="6" xfId="0" applyFont="1" applyBorder="1"/>
    <xf numFmtId="44" fontId="22" fillId="0" borderId="6" xfId="51" applyNumberFormat="1" applyFont="1" applyBorder="1"/>
    <xf numFmtId="0" fontId="22" fillId="0" borderId="6" xfId="49" applyNumberFormat="1" applyFont="1" applyBorder="1" applyAlignment="1">
      <alignment wrapText="1"/>
    </xf>
    <xf numFmtId="176" fontId="21" fillId="0" borderId="0" xfId="1" applyNumberFormat="1" applyFont="1" applyAlignment="1">
      <alignment horizontal="left"/>
    </xf>
    <xf numFmtId="176" fontId="21" fillId="0" borderId="0" xfId="1" applyNumberFormat="1" applyFont="1"/>
    <xf numFmtId="176" fontId="21" fillId="0" borderId="0" xfId="1" applyNumberFormat="1" applyFont="1" applyAlignment="1">
      <alignment horizontal="center"/>
    </xf>
    <xf numFmtId="0" fontId="22" fillId="0" borderId="0" xfId="49" applyNumberFormat="1" applyFont="1"/>
    <xf numFmtId="0" fontId="22" fillId="0" borderId="0" xfId="0" applyFont="1" applyAlignment="1">
      <alignment wrapText="1"/>
    </xf>
    <xf numFmtId="0" fontId="25" fillId="0" borderId="0" xfId="49" applyNumberFormat="1" applyFont="1"/>
    <xf numFmtId="180" fontId="22" fillId="0" borderId="43" xfId="0" applyNumberFormat="1" applyFont="1" applyBorder="1" applyAlignment="1">
      <alignment horizontal="center"/>
    </xf>
    <xf numFmtId="180" fontId="21" fillId="0" borderId="0" xfId="0" applyNumberFormat="1" applyFont="1"/>
    <xf numFmtId="0" fontId="23" fillId="0" borderId="0" xfId="49" applyNumberFormat="1" applyFont="1" applyAlignment="1">
      <alignment horizontal="left" vertical="center"/>
    </xf>
    <xf numFmtId="2" fontId="21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3" fillId="0" borderId="0" xfId="49" applyNumberFormat="1" applyFont="1" applyAlignment="1">
      <alignment vertic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39" fillId="0" borderId="0" xfId="0" applyFont="1"/>
    <xf numFmtId="0" fontId="39" fillId="0" borderId="13" xfId="0" applyFont="1" applyBorder="1" applyAlignment="1">
      <alignment horizontal="center" wrapText="1"/>
    </xf>
    <xf numFmtId="0" fontId="39" fillId="0" borderId="14" xfId="0" applyFont="1" applyBorder="1" applyAlignment="1">
      <alignment horizontal="justify" wrapText="1"/>
    </xf>
    <xf numFmtId="0" fontId="39" fillId="0" borderId="15" xfId="0" applyFont="1" applyBorder="1" applyAlignment="1">
      <alignment horizontal="justify" wrapText="1"/>
    </xf>
    <xf numFmtId="0" fontId="39" fillId="8" borderId="13" xfId="0" applyFont="1" applyFill="1" applyBorder="1" applyAlignment="1">
      <alignment horizontal="center"/>
    </xf>
    <xf numFmtId="0" fontId="39" fillId="8" borderId="14" xfId="0" applyFont="1" applyFill="1" applyBorder="1" applyAlignment="1">
      <alignment horizontal="center"/>
    </xf>
    <xf numFmtId="0" fontId="39" fillId="8" borderId="15" xfId="0" applyFont="1" applyFill="1" applyBorder="1" applyAlignment="1">
      <alignment horizontal="center"/>
    </xf>
    <xf numFmtId="0" fontId="39" fillId="0" borderId="13" xfId="0" applyFont="1" applyBorder="1" applyAlignment="1">
      <alignment horizontal="center"/>
    </xf>
    <xf numFmtId="0" fontId="39" fillId="0" borderId="14" xfId="0" applyFont="1" applyBorder="1" applyAlignment="1">
      <alignment horizontal="center"/>
    </xf>
    <xf numFmtId="0" fontId="39" fillId="0" borderId="15" xfId="0" applyFont="1" applyBorder="1" applyAlignment="1">
      <alignment horizontal="center"/>
    </xf>
    <xf numFmtId="0" fontId="39" fillId="9" borderId="32" xfId="0" applyFont="1" applyFill="1" applyBorder="1" applyAlignment="1">
      <alignment horizontal="center" vertical="center" wrapText="1"/>
    </xf>
    <xf numFmtId="0" fontId="39" fillId="9" borderId="13" xfId="0" applyFont="1" applyFill="1" applyBorder="1" applyAlignment="1">
      <alignment horizontal="center" vertical="center" wrapText="1"/>
    </xf>
    <xf numFmtId="0" fontId="39" fillId="9" borderId="14" xfId="0" applyFont="1" applyFill="1" applyBorder="1" applyAlignment="1">
      <alignment horizontal="center" vertical="center" wrapText="1"/>
    </xf>
    <xf numFmtId="0" fontId="39" fillId="9" borderId="15" xfId="0" applyFont="1" applyFill="1" applyBorder="1" applyAlignment="1">
      <alignment horizontal="center" vertical="center" wrapText="1"/>
    </xf>
    <xf numFmtId="0" fontId="39" fillId="9" borderId="32" xfId="0" applyFont="1" applyFill="1" applyBorder="1" applyAlignment="1">
      <alignment horizontal="center" vertical="center"/>
    </xf>
    <xf numFmtId="0" fontId="39" fillId="0" borderId="43" xfId="0" applyFont="1" applyBorder="1" applyAlignment="1">
      <alignment horizontal="center"/>
    </xf>
    <xf numFmtId="0" fontId="41" fillId="0" borderId="7" xfId="0" applyFont="1" applyBorder="1"/>
    <xf numFmtId="0" fontId="40" fillId="0" borderId="8" xfId="0" applyFont="1" applyBorder="1"/>
    <xf numFmtId="0" fontId="39" fillId="0" borderId="36" xfId="0" applyFont="1" applyBorder="1"/>
    <xf numFmtId="0" fontId="39" fillId="0" borderId="45" xfId="0" applyFont="1" applyBorder="1"/>
    <xf numFmtId="0" fontId="40" fillId="0" borderId="7" xfId="0" applyFont="1" applyBorder="1"/>
    <xf numFmtId="0" fontId="40" fillId="0" borderId="43" xfId="0" applyFont="1" applyBorder="1" applyAlignment="1">
      <alignment horizontal="center"/>
    </xf>
    <xf numFmtId="180" fontId="40" fillId="0" borderId="35" xfId="67" applyNumberFormat="1" applyFont="1" applyBorder="1" applyAlignment="1">
      <alignment horizontal="center" vertical="center"/>
    </xf>
    <xf numFmtId="176" fontId="39" fillId="0" borderId="36" xfId="1" applyNumberFormat="1" applyFont="1" applyBorder="1"/>
    <xf numFmtId="176" fontId="39" fillId="0" borderId="45" xfId="1" applyNumberFormat="1" applyFont="1" applyBorder="1"/>
    <xf numFmtId="180" fontId="40" fillId="0" borderId="43" xfId="0" applyNumberFormat="1" applyFont="1" applyBorder="1" applyAlignment="1">
      <alignment horizontal="center"/>
    </xf>
    <xf numFmtId="0" fontId="39" fillId="0" borderId="46" xfId="0" applyFont="1" applyBorder="1"/>
    <xf numFmtId="176" fontId="39" fillId="0" borderId="32" xfId="1" applyNumberFormat="1" applyFont="1" applyBorder="1"/>
    <xf numFmtId="0" fontId="39" fillId="0" borderId="7" xfId="0" applyFont="1" applyBorder="1"/>
    <xf numFmtId="0" fontId="39" fillId="0" borderId="8" xfId="0" applyFont="1" applyBorder="1"/>
    <xf numFmtId="2" fontId="39" fillId="0" borderId="0" xfId="0" applyNumberFormat="1" applyFont="1"/>
    <xf numFmtId="0" fontId="41" fillId="0" borderId="36" xfId="0" applyFont="1" applyBorder="1" applyAlignment="1">
      <alignment horizontal="left"/>
    </xf>
    <xf numFmtId="0" fontId="41" fillId="0" borderId="7" xfId="0" applyFont="1" applyBorder="1" applyAlignment="1">
      <alignment horizontal="left"/>
    </xf>
    <xf numFmtId="2" fontId="39" fillId="0" borderId="36" xfId="0" applyNumberFormat="1" applyFont="1" applyBorder="1"/>
    <xf numFmtId="176" fontId="39" fillId="0" borderId="47" xfId="1" applyNumberFormat="1" applyFont="1" applyBorder="1"/>
    <xf numFmtId="176" fontId="39" fillId="0" borderId="0" xfId="1" applyNumberFormat="1" applyFont="1"/>
    <xf numFmtId="0" fontId="39" fillId="9" borderId="32" xfId="0" applyFont="1" applyFill="1" applyBorder="1" applyAlignment="1">
      <alignment vertical="center"/>
    </xf>
    <xf numFmtId="176" fontId="39" fillId="0" borderId="48" xfId="1" applyNumberFormat="1" applyFont="1" applyBorder="1"/>
    <xf numFmtId="0" fontId="39" fillId="8" borderId="49" xfId="0" applyFont="1" applyFill="1" applyBorder="1" applyAlignment="1">
      <alignment horizontal="center"/>
    </xf>
    <xf numFmtId="0" fontId="39" fillId="8" borderId="50" xfId="0" applyFont="1" applyFill="1" applyBorder="1" applyAlignment="1">
      <alignment horizontal="center"/>
    </xf>
    <xf numFmtId="0" fontId="39" fillId="8" borderId="51" xfId="0" applyFont="1" applyFill="1" applyBorder="1" applyAlignment="1">
      <alignment horizontal="center"/>
    </xf>
    <xf numFmtId="0" fontId="39" fillId="9" borderId="52" xfId="0" applyFont="1" applyFill="1" applyBorder="1" applyAlignment="1">
      <alignment horizontal="center" vertical="center" wrapText="1"/>
    </xf>
    <xf numFmtId="0" fontId="39" fillId="9" borderId="53" xfId="0" applyFont="1" applyFill="1" applyBorder="1" applyAlignment="1">
      <alignment horizontal="center" vertical="center" wrapText="1"/>
    </xf>
    <xf numFmtId="0" fontId="39" fillId="9" borderId="54" xfId="0" applyFont="1" applyFill="1" applyBorder="1" applyAlignment="1">
      <alignment horizontal="center" vertical="center" wrapText="1"/>
    </xf>
    <xf numFmtId="0" fontId="39" fillId="9" borderId="47" xfId="0" applyFont="1" applyFill="1" applyBorder="1" applyAlignment="1">
      <alignment horizontal="center" vertical="center" wrapText="1"/>
    </xf>
    <xf numFmtId="0" fontId="39" fillId="0" borderId="43" xfId="0" applyFont="1" applyBorder="1" applyAlignment="1">
      <alignment horizontal="center"/>
    </xf>
    <xf numFmtId="0" fontId="41" fillId="0" borderId="0" xfId="0" applyFont="1"/>
    <xf numFmtId="0" fontId="39" fillId="0" borderId="55" xfId="0" applyFont="1" applyBorder="1"/>
    <xf numFmtId="176" fontId="39" fillId="0" borderId="55" xfId="0" applyNumberFormat="1" applyFont="1" applyBorder="1"/>
    <xf numFmtId="0" fontId="40" fillId="0" borderId="55" xfId="0" applyFont="1" applyBorder="1"/>
    <xf numFmtId="0" fontId="39" fillId="0" borderId="52" xfId="0" applyFont="1" applyBorder="1" applyAlignment="1">
      <alignment horizontal="center"/>
    </xf>
    <xf numFmtId="0" fontId="39" fillId="0" borderId="53" xfId="0" applyFont="1" applyBorder="1" applyAlignment="1">
      <alignment horizontal="center"/>
    </xf>
    <xf numFmtId="0" fontId="39" fillId="0" borderId="54" xfId="0" applyFont="1" applyBorder="1" applyAlignment="1">
      <alignment horizontal="center"/>
    </xf>
    <xf numFmtId="0" fontId="39" fillId="0" borderId="0" xfId="0" applyFont="1" applyAlignment="1">
      <alignment horizontal="left"/>
    </xf>
    <xf numFmtId="0" fontId="39" fillId="0" borderId="6" xfId="0" applyFont="1" applyBorder="1" applyAlignment="1">
      <alignment horizontal="center"/>
    </xf>
    <xf numFmtId="0" fontId="39" fillId="0" borderId="6" xfId="0" applyFont="1" applyBorder="1"/>
    <xf numFmtId="0" fontId="40" fillId="0" borderId="6" xfId="0" applyFont="1" applyBorder="1"/>
    <xf numFmtId="0" fontId="25" fillId="0" borderId="36" xfId="0" applyFont="1" applyBorder="1" quotePrefix="1"/>
    <xf numFmtId="179" fontId="6" fillId="0" borderId="0" xfId="0" applyNumberFormat="1" applyFont="1" applyAlignment="1" quotePrefix="1">
      <alignment horizontal="left"/>
    </xf>
    <xf numFmtId="0" fontId="12" fillId="0" borderId="7" xfId="0" applyFont="1" applyBorder="1" applyAlignment="1" quotePrefix="1">
      <alignment horizontal="left" indent="2"/>
    </xf>
  </cellXfs>
  <cellStyles count="6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  <cellStyle name="Comma 2 2" xfId="50"/>
    <cellStyle name="Comma 3" xfId="51"/>
    <cellStyle name="Comma 3 2" xfId="52"/>
    <cellStyle name="Comma 3 2 2" xfId="53"/>
    <cellStyle name="Comma 3 3" xfId="54"/>
    <cellStyle name="Comma 4" xfId="55"/>
    <cellStyle name="Comma 4 2" xfId="56"/>
    <cellStyle name="Comma 5" xfId="57"/>
    <cellStyle name="Comma 5 3" xfId="58"/>
    <cellStyle name="Comma 5 3 2" xfId="59"/>
    <cellStyle name="Comma 6" xfId="60"/>
    <cellStyle name="Currency 2" xfId="61"/>
    <cellStyle name="Currency 2 2" xfId="62"/>
    <cellStyle name="Currency 2 3" xfId="63"/>
    <cellStyle name="Currency 2 4" xfId="64"/>
    <cellStyle name="Currency 2 5" xfId="65"/>
    <cellStyle name="Normal 2" xfId="66"/>
    <cellStyle name="Normal 3" xfId="67"/>
    <cellStyle name="Normal 4" xfId="6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520018</xdr:colOff>
      <xdr:row>18</xdr:row>
      <xdr:rowOff>103479</xdr:rowOff>
    </xdr:from>
    <xdr:to>
      <xdr:col>12</xdr:col>
      <xdr:colOff>168343</xdr:colOff>
      <xdr:row>28</xdr:row>
      <xdr:rowOff>158454</xdr:rowOff>
    </xdr:to>
    <xdr:pic>
      <xdr:nvPicPr>
        <xdr:cNvPr id="7" name="Picture 6"/>
        <xdr:cNvPicPr/>
      </xdr:nvPicPr>
      <xdr:blipFill>
        <a:blip r:embed="rId1"/>
        <a:stretch>
          <a:fillRect/>
        </a:stretch>
      </xdr:blipFill>
      <xdr:spPr>
        <a:xfrm>
          <a:off x="7792085" y="4069080"/>
          <a:ext cx="1999615" cy="196024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6</xdr:col>
      <xdr:colOff>539217</xdr:colOff>
      <xdr:row>18</xdr:row>
      <xdr:rowOff>103479</xdr:rowOff>
    </xdr:from>
    <xdr:to>
      <xdr:col>9</xdr:col>
      <xdr:colOff>187542</xdr:colOff>
      <xdr:row>28</xdr:row>
      <xdr:rowOff>158457</xdr:rowOff>
    </xdr:to>
    <xdr:pic>
      <xdr:nvPicPr>
        <xdr:cNvPr id="8" name="Picture 7"/>
        <xdr:cNvPicPr/>
      </xdr:nvPicPr>
      <xdr:blipFill>
        <a:blip r:embed="rId2"/>
        <a:stretch>
          <a:fillRect/>
        </a:stretch>
      </xdr:blipFill>
      <xdr:spPr>
        <a:xfrm>
          <a:off x="5461000" y="4069080"/>
          <a:ext cx="1998980" cy="196024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9</xdr:col>
      <xdr:colOff>512685</xdr:colOff>
      <xdr:row>6</xdr:row>
      <xdr:rowOff>22622</xdr:rowOff>
    </xdr:from>
    <xdr:to>
      <xdr:col>12</xdr:col>
      <xdr:colOff>161008</xdr:colOff>
      <xdr:row>16</xdr:row>
      <xdr:rowOff>77594</xdr:rowOff>
    </xdr:to>
    <xdr:pic>
      <xdr:nvPicPr>
        <xdr:cNvPr id="9" name="Picture 8"/>
        <xdr:cNvPicPr/>
      </xdr:nvPicPr>
      <xdr:blipFill>
        <a:blip r:embed="rId3"/>
        <a:stretch>
          <a:fillRect/>
        </a:stretch>
      </xdr:blipFill>
      <xdr:spPr>
        <a:xfrm>
          <a:off x="7785100" y="1702435"/>
          <a:ext cx="1998980" cy="196024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6</xdr:col>
      <xdr:colOff>569024</xdr:colOff>
      <xdr:row>6</xdr:row>
      <xdr:rowOff>21132</xdr:rowOff>
    </xdr:from>
    <xdr:to>
      <xdr:col>9</xdr:col>
      <xdr:colOff>214979</xdr:colOff>
      <xdr:row>16</xdr:row>
      <xdr:rowOff>72948</xdr:rowOff>
    </xdr:to>
    <xdr:pic>
      <xdr:nvPicPr>
        <xdr:cNvPr id="10" name="Picture 9"/>
        <xdr:cNvPicPr/>
      </xdr:nvPicPr>
      <xdr:blipFill>
        <a:blip r:embed="rId4"/>
        <a:stretch>
          <a:fillRect/>
        </a:stretch>
      </xdr:blipFill>
      <xdr:spPr>
        <a:xfrm>
          <a:off x="5490845" y="1701165"/>
          <a:ext cx="1996440" cy="19564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oneCellAnchor>
    <xdr:from>
      <xdr:col>10</xdr:col>
      <xdr:colOff>93762</xdr:colOff>
      <xdr:row>36</xdr:row>
      <xdr:rowOff>23811</xdr:rowOff>
    </xdr:from>
    <xdr:ext cx="1455539" cy="1940719"/>
    <xdr:pic>
      <xdr:nvPicPr>
        <xdr:cNvPr id="4" name="Picture 3"/>
        <xdr:cNvPicPr/>
      </xdr:nvPicPr>
      <xdr:blipFill>
        <a:blip r:embed="rId5"/>
        <a:stretch>
          <a:fillRect/>
        </a:stretch>
      </xdr:blipFill>
      <xdr:spPr>
        <a:xfrm>
          <a:off x="8149590" y="7504430"/>
          <a:ext cx="1455420" cy="194056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oneCellAnchor>
  <xdr:oneCellAnchor>
    <xdr:from>
      <xdr:col>7</xdr:col>
      <xdr:colOff>84060</xdr:colOff>
      <xdr:row>47</xdr:row>
      <xdr:rowOff>177520</xdr:rowOff>
    </xdr:from>
    <xdr:ext cx="3047284" cy="1560791"/>
    <xdr:pic>
      <xdr:nvPicPr>
        <xdr:cNvPr id="6" name="Picture 5"/>
        <xdr:cNvPicPr/>
      </xdr:nvPicPr>
      <xdr:blipFill>
        <a:blip r:embed="rId6"/>
        <a:stretch>
          <a:fillRect/>
        </a:stretch>
      </xdr:blipFill>
      <xdr:spPr>
        <a:xfrm>
          <a:off x="5789295" y="9753600"/>
          <a:ext cx="3047365" cy="156083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oneCellAnchor>
  <xdr:oneCellAnchor>
    <xdr:from>
      <xdr:col>6</xdr:col>
      <xdr:colOff>569024</xdr:colOff>
      <xdr:row>36</xdr:row>
      <xdr:rowOff>21132</xdr:rowOff>
    </xdr:from>
    <xdr:ext cx="1467612" cy="1956816"/>
    <xdr:pic>
      <xdr:nvPicPr>
        <xdr:cNvPr id="11" name="Picture 10"/>
        <xdr:cNvPicPr/>
      </xdr:nvPicPr>
      <xdr:blipFill>
        <a:blip r:embed="rId7"/>
        <a:stretch>
          <a:fillRect/>
        </a:stretch>
      </xdr:blipFill>
      <xdr:spPr>
        <a:xfrm>
          <a:off x="5490845" y="7501890"/>
          <a:ext cx="1467485" cy="19564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oneCellAnchor>
  <xdr:twoCellAnchor editAs="oneCell">
    <xdr:from>
      <xdr:col>0</xdr:col>
      <xdr:colOff>83343</xdr:colOff>
      <xdr:row>9</xdr:row>
      <xdr:rowOff>11904</xdr:rowOff>
    </xdr:from>
    <xdr:to>
      <xdr:col>5</xdr:col>
      <xdr:colOff>500060</xdr:colOff>
      <xdr:row>26</xdr:row>
      <xdr:rowOff>117294</xdr:rowOff>
    </xdr:to>
    <xdr:pic>
      <xdr:nvPicPr>
        <xdr:cNvPr id="12" name="Picture 11"/>
        <xdr:cNvPicPr/>
      </xdr:nvPicPr>
      <xdr:blipFill>
        <a:blip r:embed="rId8"/>
        <a:stretch>
          <a:fillRect/>
        </a:stretch>
      </xdr:blipFill>
      <xdr:spPr>
        <a:xfrm>
          <a:off x="83185" y="2263140"/>
          <a:ext cx="4554855" cy="334391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1</xdr:col>
      <xdr:colOff>5771</xdr:colOff>
      <xdr:row>17</xdr:row>
      <xdr:rowOff>95256</xdr:rowOff>
    </xdr:from>
    <xdr:to>
      <xdr:col>4</xdr:col>
      <xdr:colOff>23808</xdr:colOff>
      <xdr:row>22</xdr:row>
      <xdr:rowOff>164034</xdr:rowOff>
    </xdr:to>
    <xdr:sp>
      <xdr:nvSpPr>
        <xdr:cNvPr id="13" name="Rectangle 12"/>
        <xdr:cNvSpPr/>
      </xdr:nvSpPr>
      <xdr:spPr>
        <a:xfrm rot="5400000">
          <a:off x="1683385" y="3196590"/>
          <a:ext cx="1021080" cy="236918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MY" sz="1100"/>
        </a:p>
      </xdr:txBody>
    </xdr:sp>
    <xdr:clientData/>
  </xdr:twoCellAnchor>
  <xdr:twoCellAnchor editAs="oneCell">
    <xdr:from>
      <xdr:col>0</xdr:col>
      <xdr:colOff>178592</xdr:colOff>
      <xdr:row>39</xdr:row>
      <xdr:rowOff>11904</xdr:rowOff>
    </xdr:from>
    <xdr:to>
      <xdr:col>5</xdr:col>
      <xdr:colOff>416717</xdr:colOff>
      <xdr:row>55</xdr:row>
      <xdr:rowOff>130968</xdr:rowOff>
    </xdr:to>
    <xdr:pic>
      <xdr:nvPicPr>
        <xdr:cNvPr id="14" name="Picture 13"/>
        <xdr:cNvPicPr/>
      </xdr:nvPicPr>
      <xdr:blipFill>
        <a:blip r:embed="rId9"/>
        <a:stretch>
          <a:fillRect/>
        </a:stretch>
      </xdr:blipFill>
      <xdr:spPr>
        <a:xfrm>
          <a:off x="178435" y="8063865"/>
          <a:ext cx="4376420" cy="31673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3</xdr:col>
      <xdr:colOff>8877</xdr:colOff>
      <xdr:row>47</xdr:row>
      <xdr:rowOff>52802</xdr:rowOff>
    </xdr:from>
    <xdr:to>
      <xdr:col>3</xdr:col>
      <xdr:colOff>605032</xdr:colOff>
      <xdr:row>51</xdr:row>
      <xdr:rowOff>4324</xdr:rowOff>
    </xdr:to>
    <xdr:sp>
      <xdr:nvSpPr>
        <xdr:cNvPr id="2" name="Rectangle 1"/>
        <xdr:cNvSpPr/>
      </xdr:nvSpPr>
      <xdr:spPr>
        <a:xfrm rot="1586619">
          <a:off x="2579370" y="9629140"/>
          <a:ext cx="596265" cy="71310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MY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295274</xdr:colOff>
      <xdr:row>0</xdr:row>
      <xdr:rowOff>85725</xdr:rowOff>
    </xdr:from>
    <xdr:to>
      <xdr:col>1</xdr:col>
      <xdr:colOff>515619</xdr:colOff>
      <xdr:row>5</xdr:row>
      <xdr:rowOff>19050</xdr:rowOff>
    </xdr:to>
    <xdr:pic>
      <xdr:nvPicPr>
        <xdr:cNvPr id="3" name="Picture 2" descr="logohuruf"/>
        <xdr:cNvPicPr/>
      </xdr:nvPicPr>
      <xdr:blipFill>
        <a:blip r:embed="rId1"/>
        <a:stretch>
          <a:fillRect/>
        </a:stretch>
      </xdr:blipFill>
      <xdr:spPr>
        <a:xfrm>
          <a:off x="294640" y="85725"/>
          <a:ext cx="1003935" cy="914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76200</xdr:colOff>
      <xdr:row>0</xdr:row>
      <xdr:rowOff>85725</xdr:rowOff>
    </xdr:from>
    <xdr:to>
      <xdr:col>8</xdr:col>
      <xdr:colOff>383540</xdr:colOff>
      <xdr:row>5</xdr:row>
      <xdr:rowOff>102235</xdr:rowOff>
    </xdr:to>
    <xdr:pic>
      <xdr:nvPicPr>
        <xdr:cNvPr id="4" name="Picture 3" descr="gitu"/>
        <xdr:cNvPicPr/>
      </xdr:nvPicPr>
      <xdr:blipFill>
        <a:blip r:embed="rId2">
          <a:clrChange>
            <a:clrFrom>
              <a:srgbClr val="F9FBFB"/>
            </a:clrFrom>
            <a:clrTo>
              <a:srgbClr val="F9FBFB">
                <a:alpha val="0"/>
              </a:srgbClr>
            </a:clrTo>
          </a:clrChange>
        </a:blip>
        <a:stretch>
          <a:fillRect/>
        </a:stretch>
      </xdr:blipFill>
      <xdr:spPr>
        <a:xfrm>
          <a:off x="5769610" y="85725"/>
          <a:ext cx="1090930" cy="9975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581025</xdr:colOff>
      <xdr:row>0</xdr:row>
      <xdr:rowOff>161924</xdr:rowOff>
    </xdr:from>
    <xdr:to>
      <xdr:col>5</xdr:col>
      <xdr:colOff>144145</xdr:colOff>
      <xdr:row>5</xdr:row>
      <xdr:rowOff>47625</xdr:rowOff>
    </xdr:to>
    <xdr:pic>
      <xdr:nvPicPr>
        <xdr:cNvPr id="2" name="Picture 1" descr="logohuruf"/>
        <xdr:cNvPicPr/>
      </xdr:nvPicPr>
      <xdr:blipFill>
        <a:blip r:embed="rId1"/>
        <a:stretch>
          <a:fillRect/>
        </a:stretch>
      </xdr:blipFill>
      <xdr:spPr>
        <a:xfrm>
          <a:off x="3066415" y="161290"/>
          <a:ext cx="1130300" cy="9150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357"/>
  <sheetViews>
    <sheetView showGridLines="0" zoomScale="130" zoomScaleNormal="130" zoomScaleSheetLayoutView="85" workbookViewId="0">
      <selection activeCell="N16" sqref="N15:O16"/>
    </sheetView>
  </sheetViews>
  <sheetFormatPr defaultColWidth="9" defaultRowHeight="11.25"/>
  <cols>
    <col min="1" max="1" width="3.42222222222222" style="336" customWidth="1"/>
    <col min="2" max="2" width="3.71111111111111" style="337" customWidth="1"/>
    <col min="3" max="3" width="5.57037037037037" style="337" customWidth="1"/>
    <col min="4" max="4" width="6.14074074074074" style="337" customWidth="1"/>
    <col min="5" max="6" width="4.85185185185185" style="337" customWidth="1"/>
    <col min="7" max="7" width="27.3481481481481" style="337" customWidth="1"/>
    <col min="8" max="8" width="6.57037037037037" style="338" customWidth="1"/>
    <col min="9" max="9" width="9.28148148148148" style="338" customWidth="1"/>
    <col min="10" max="10" width="9.85185185185185" style="338" customWidth="1"/>
    <col min="11" max="11" width="10.1407407407407" style="338" customWidth="1"/>
    <col min="12" max="12" width="5.57037037037037" style="337" customWidth="1"/>
    <col min="13" max="16" width="5.57777777777778" style="337" customWidth="1"/>
    <col min="17" max="16384" width="9.14074074074074" style="337"/>
  </cols>
  <sheetData>
    <row r="1" ht="26.4" customHeight="1" spans="1:15">
      <c r="A1" s="339" t="s">
        <v>0</v>
      </c>
      <c r="B1" s="340"/>
      <c r="C1" s="340"/>
      <c r="D1" s="340"/>
      <c r="E1" s="340"/>
      <c r="F1" s="340"/>
      <c r="G1" s="340"/>
      <c r="H1" s="340"/>
      <c r="I1" s="340"/>
      <c r="J1" s="340"/>
      <c r="K1" s="341"/>
    </row>
    <row r="2" ht="15.75" customHeight="1" spans="1:15">
      <c r="A2" s="342" t="s">
        <v>1</v>
      </c>
      <c r="B2" s="343"/>
      <c r="C2" s="343"/>
      <c r="D2" s="343"/>
      <c r="E2" s="343"/>
      <c r="F2" s="343"/>
      <c r="G2" s="343"/>
      <c r="H2" s="342" t="s">
        <v>2</v>
      </c>
      <c r="I2" s="343"/>
      <c r="J2" s="343"/>
      <c r="K2" s="344"/>
    </row>
    <row r="3" ht="15.75" customHeight="1" spans="1:15">
      <c r="A3" s="345" t="s">
        <v>3</v>
      </c>
      <c r="B3" s="346"/>
      <c r="C3" s="346"/>
      <c r="D3" s="346"/>
      <c r="E3" s="346"/>
      <c r="F3" s="346"/>
      <c r="G3" s="346"/>
      <c r="H3" s="345" t="s">
        <v>4</v>
      </c>
      <c r="I3" s="346"/>
      <c r="J3" s="346"/>
      <c r="K3" s="347"/>
      <c r="N3" s="336"/>
      <c r="O3" s="336"/>
    </row>
    <row r="4" ht="38.25" customHeight="1" spans="1:15">
      <c r="A4" s="348" t="s">
        <v>5</v>
      </c>
      <c r="B4" s="349" t="s">
        <v>6</v>
      </c>
      <c r="C4" s="350"/>
      <c r="D4" s="350"/>
      <c r="E4" s="350"/>
      <c r="F4" s="350"/>
      <c r="G4" s="351"/>
      <c r="H4" s="348" t="s">
        <v>7</v>
      </c>
      <c r="I4" s="352" t="s">
        <v>8</v>
      </c>
      <c r="J4" s="348" t="s">
        <v>9</v>
      </c>
      <c r="K4" s="348" t="s">
        <v>10</v>
      </c>
    </row>
    <row r="5" spans="1:15">
      <c r="A5" s="353"/>
      <c r="B5" s="354" t="s">
        <v>11</v>
      </c>
      <c r="G5" s="355"/>
      <c r="H5" s="356"/>
      <c r="J5" s="356"/>
      <c r="K5" s="357"/>
    </row>
    <row r="6" spans="1:15">
      <c r="A6" s="353"/>
      <c r="B6" s="358"/>
      <c r="G6" s="355"/>
      <c r="H6" s="356"/>
      <c r="J6" s="356"/>
      <c r="K6" s="357"/>
    </row>
    <row r="7" spans="1:15">
      <c r="A7" s="353"/>
      <c r="B7" s="354" t="s">
        <v>12</v>
      </c>
      <c r="G7" s="355"/>
      <c r="H7" s="356"/>
      <c r="J7" s="356"/>
      <c r="K7" s="357"/>
    </row>
    <row r="8" spans="1:15">
      <c r="A8" s="359"/>
      <c r="B8" s="358"/>
      <c r="G8" s="355"/>
      <c r="H8" s="356"/>
      <c r="J8" s="356"/>
      <c r="K8" s="357"/>
    </row>
    <row r="9" spans="1:15">
      <c r="A9" s="360">
        <v>1</v>
      </c>
      <c r="B9" s="354" t="s">
        <v>13</v>
      </c>
      <c r="G9" s="355"/>
      <c r="H9" s="356"/>
      <c r="J9" s="356"/>
      <c r="K9" s="357"/>
    </row>
    <row r="10" spans="1:15">
      <c r="A10" s="359"/>
      <c r="B10" s="358"/>
      <c r="G10" s="355"/>
      <c r="H10" s="356"/>
      <c r="J10" s="356"/>
      <c r="K10" s="357"/>
    </row>
    <row r="11" spans="1:15">
      <c r="A11" s="359">
        <v>1.1</v>
      </c>
      <c r="B11" s="358" t="s">
        <v>14</v>
      </c>
      <c r="G11" s="355"/>
      <c r="H11" s="356"/>
      <c r="J11" s="356"/>
      <c r="K11" s="357"/>
    </row>
    <row r="12" spans="1:15">
      <c r="A12" s="359"/>
      <c r="B12" s="358" t="s">
        <v>15</v>
      </c>
      <c r="G12" s="355"/>
      <c r="H12" s="356"/>
      <c r="J12" s="356"/>
      <c r="K12" s="357"/>
    </row>
    <row r="13" spans="1:15">
      <c r="A13" s="359"/>
      <c r="B13" s="358" t="s">
        <v>16</v>
      </c>
      <c r="G13" s="355"/>
      <c r="H13" s="356"/>
      <c r="J13" s="356"/>
      <c r="K13" s="357"/>
    </row>
    <row r="14" spans="1:15">
      <c r="A14" s="359"/>
      <c r="B14" s="358" t="s">
        <v>17</v>
      </c>
      <c r="G14" s="355"/>
      <c r="H14" s="356"/>
      <c r="J14" s="356"/>
      <c r="K14" s="357"/>
    </row>
    <row r="15" spans="1:15">
      <c r="A15" s="359"/>
      <c r="B15" s="358" t="s">
        <v>18</v>
      </c>
      <c r="G15" s="355"/>
      <c r="H15" s="356"/>
      <c r="J15" s="356"/>
      <c r="K15" s="357"/>
    </row>
    <row r="16" spans="1:15">
      <c r="A16" s="359"/>
      <c r="B16" s="358" t="s">
        <v>19</v>
      </c>
      <c r="G16" s="355"/>
      <c r="H16" s="356"/>
      <c r="J16" s="356"/>
      <c r="K16" s="357"/>
    </row>
    <row r="17" spans="1:11">
      <c r="A17" s="359"/>
      <c r="B17" s="358" t="s">
        <v>20</v>
      </c>
      <c r="C17" s="337"/>
      <c r="D17" s="337"/>
      <c r="E17" s="337"/>
      <c r="F17" s="337"/>
      <c r="G17" s="355"/>
      <c r="H17" s="356" t="s">
        <v>21</v>
      </c>
      <c r="I17" s="338"/>
      <c r="J17" s="361">
        <v>340</v>
      </c>
      <c r="K17" s="362">
        <f>J17</f>
        <v>340</v>
      </c>
    </row>
    <row r="18" spans="1:11">
      <c r="A18" s="359"/>
      <c r="B18" s="358" t="s">
        <v>22</v>
      </c>
      <c r="G18" s="355"/>
      <c r="H18" s="356"/>
      <c r="J18" s="356"/>
      <c r="K18" s="357"/>
    </row>
    <row r="19" spans="1:11">
      <c r="A19" s="359"/>
      <c r="B19" s="358" t="s">
        <v>23</v>
      </c>
      <c r="G19" s="355"/>
      <c r="H19" s="356"/>
      <c r="J19" s="356"/>
      <c r="K19" s="357"/>
    </row>
    <row r="20" spans="1:11">
      <c r="A20" s="359"/>
      <c r="B20" s="358" t="s">
        <v>24</v>
      </c>
      <c r="G20" s="355"/>
      <c r="H20" s="356"/>
      <c r="J20" s="356"/>
      <c r="K20" s="357"/>
    </row>
    <row r="21" spans="1:11">
      <c r="A21" s="359"/>
      <c r="B21" s="358"/>
      <c r="G21" s="355"/>
      <c r="H21" s="356"/>
      <c r="J21" s="356"/>
      <c r="K21" s="357"/>
    </row>
    <row r="22" spans="1:11">
      <c r="A22" s="363">
        <v>2</v>
      </c>
      <c r="B22" s="354" t="s">
        <v>25</v>
      </c>
      <c r="G22" s="355"/>
      <c r="H22" s="356"/>
      <c r="J22" s="356"/>
      <c r="K22" s="357"/>
    </row>
    <row r="23" spans="1:11">
      <c r="A23" s="359"/>
      <c r="B23" s="358"/>
      <c r="G23" s="355"/>
      <c r="H23" s="356"/>
      <c r="J23" s="356"/>
      <c r="K23" s="357"/>
    </row>
    <row r="24" spans="1:11">
      <c r="A24" s="359">
        <v>2.1</v>
      </c>
      <c r="B24" s="358" t="s">
        <v>26</v>
      </c>
      <c r="G24" s="355"/>
      <c r="H24" s="356"/>
      <c r="J24" s="361"/>
      <c r="K24" s="362"/>
    </row>
    <row r="25" spans="1:11">
      <c r="A25" s="359"/>
      <c r="B25" s="358" t="s">
        <v>27</v>
      </c>
      <c r="G25" s="355"/>
      <c r="H25" s="356"/>
      <c r="J25" s="356"/>
      <c r="K25" s="357"/>
    </row>
    <row r="26" spans="1:11">
      <c r="A26" s="359"/>
      <c r="B26" s="358" t="s">
        <v>28</v>
      </c>
      <c r="G26" s="355"/>
      <c r="H26" s="356"/>
      <c r="J26" s="356"/>
      <c r="K26" s="357"/>
    </row>
    <row r="27" spans="1:11">
      <c r="A27" s="359"/>
      <c r="B27" s="358" t="s">
        <v>29</v>
      </c>
      <c r="G27" s="355"/>
      <c r="H27" s="356"/>
      <c r="J27" s="356"/>
      <c r="K27" s="357"/>
    </row>
    <row r="28" spans="1:11">
      <c r="A28" s="359"/>
      <c r="B28" s="358" t="s">
        <v>30</v>
      </c>
      <c r="G28" s="355"/>
      <c r="H28" s="356"/>
      <c r="J28" s="356"/>
      <c r="K28" s="357"/>
    </row>
    <row r="29" spans="1:11">
      <c r="A29" s="359"/>
      <c r="B29" s="358" t="s">
        <v>31</v>
      </c>
      <c r="G29" s="355"/>
      <c r="H29" s="356" t="s">
        <v>21</v>
      </c>
      <c r="J29" s="361">
        <v>1275</v>
      </c>
      <c r="K29" s="362">
        <f>J29</f>
        <v>1275</v>
      </c>
    </row>
    <row r="30" spans="1:11">
      <c r="A30" s="359"/>
      <c r="B30" s="358"/>
      <c r="G30" s="355"/>
      <c r="H30" s="356"/>
      <c r="J30" s="356"/>
      <c r="K30" s="357"/>
    </row>
    <row r="31" spans="1:11">
      <c r="A31" s="363">
        <v>3</v>
      </c>
      <c r="B31" s="354" t="s">
        <v>32</v>
      </c>
      <c r="G31" s="355"/>
      <c r="H31" s="356"/>
      <c r="J31" s="356"/>
      <c r="K31" s="357"/>
    </row>
    <row r="32" spans="1:11">
      <c r="A32" s="359"/>
      <c r="B32" s="358"/>
      <c r="G32" s="355"/>
      <c r="H32" s="356"/>
      <c r="J32" s="361"/>
      <c r="K32" s="362"/>
    </row>
    <row r="33" spans="1:11">
      <c r="A33" s="359">
        <v>3.1</v>
      </c>
      <c r="B33" s="358" t="s">
        <v>33</v>
      </c>
      <c r="H33" s="364"/>
      <c r="J33" s="361"/>
      <c r="K33" s="362"/>
    </row>
    <row r="34" spans="1:11">
      <c r="A34" s="359"/>
      <c r="B34" s="358" t="s">
        <v>34</v>
      </c>
      <c r="G34" s="355"/>
      <c r="H34" s="356" t="s">
        <v>21</v>
      </c>
      <c r="J34" s="361">
        <v>255</v>
      </c>
      <c r="K34" s="362">
        <f>J34</f>
        <v>255</v>
      </c>
    </row>
    <row r="35" spans="1:11">
      <c r="A35" s="359"/>
      <c r="B35" s="358"/>
      <c r="G35" s="355"/>
      <c r="H35" s="356"/>
      <c r="J35" s="361"/>
      <c r="K35" s="362"/>
    </row>
    <row r="36" spans="1:11">
      <c r="A36" s="359"/>
      <c r="B36" s="358"/>
      <c r="G36" s="355"/>
      <c r="H36" s="356"/>
      <c r="J36" s="361"/>
      <c r="K36" s="362"/>
    </row>
    <row r="37" spans="1:11">
      <c r="A37" s="359"/>
      <c r="B37" s="358"/>
      <c r="G37" s="355"/>
      <c r="H37" s="356"/>
      <c r="J37" s="361"/>
      <c r="K37" s="362"/>
    </row>
    <row r="38" spans="1:11">
      <c r="A38" s="359"/>
      <c r="B38" s="358"/>
      <c r="G38" s="355"/>
      <c r="H38" s="356"/>
      <c r="J38" s="361"/>
      <c r="K38" s="362"/>
    </row>
    <row r="39" spans="1:11">
      <c r="A39" s="359"/>
      <c r="B39" s="358"/>
      <c r="G39" s="355"/>
      <c r="H39" s="356"/>
      <c r="J39" s="361"/>
      <c r="K39" s="362"/>
    </row>
    <row r="40" spans="1:11">
      <c r="A40" s="359"/>
      <c r="B40" s="358"/>
      <c r="G40" s="355"/>
      <c r="H40" s="356"/>
      <c r="J40" s="361"/>
      <c r="K40" s="362"/>
    </row>
    <row r="41" spans="1:11">
      <c r="A41" s="359"/>
      <c r="B41" s="358"/>
      <c r="G41" s="355"/>
      <c r="H41" s="356"/>
      <c r="J41" s="361"/>
      <c r="K41" s="362"/>
    </row>
    <row r="42" spans="1:11">
      <c r="A42" s="359"/>
      <c r="B42" s="358"/>
      <c r="G42" s="355"/>
      <c r="H42" s="356"/>
      <c r="J42" s="356"/>
      <c r="K42" s="357"/>
    </row>
    <row r="43" spans="1:11">
      <c r="A43" s="359"/>
      <c r="B43" s="358"/>
      <c r="G43" s="355"/>
      <c r="H43" s="356"/>
      <c r="J43" s="356"/>
      <c r="K43" s="357"/>
    </row>
    <row r="44" spans="1:11">
      <c r="A44" s="359"/>
      <c r="B44" s="358"/>
      <c r="G44" s="355"/>
      <c r="H44" s="356"/>
      <c r="J44" s="356"/>
      <c r="K44" s="357"/>
    </row>
    <row r="45" spans="1:11">
      <c r="A45" s="359"/>
      <c r="B45" s="358"/>
      <c r="G45" s="355"/>
      <c r="H45" s="356"/>
      <c r="J45" s="356"/>
      <c r="K45" s="357"/>
    </row>
    <row r="46" spans="1:11">
      <c r="A46" s="359"/>
      <c r="B46" s="358"/>
      <c r="G46" s="355"/>
      <c r="H46" s="356"/>
      <c r="J46" s="356"/>
      <c r="K46" s="357"/>
    </row>
    <row r="47" spans="1:11">
      <c r="A47" s="359"/>
      <c r="B47" s="358"/>
      <c r="G47" s="355"/>
      <c r="H47" s="356"/>
      <c r="J47" s="356"/>
      <c r="K47" s="357"/>
    </row>
    <row r="48" spans="1:11">
      <c r="A48" s="359"/>
      <c r="B48" s="358"/>
      <c r="G48" s="355"/>
      <c r="H48" s="356"/>
      <c r="J48" s="356"/>
      <c r="K48" s="357"/>
    </row>
    <row r="49" spans="1:11">
      <c r="A49" s="359"/>
      <c r="B49" s="358"/>
      <c r="G49" s="355"/>
      <c r="H49" s="356"/>
      <c r="J49" s="356"/>
      <c r="K49" s="357"/>
    </row>
    <row r="50" spans="1:11">
      <c r="A50" s="359"/>
      <c r="B50" s="358"/>
      <c r="G50" s="355"/>
      <c r="H50" s="356"/>
      <c r="J50" s="356"/>
      <c r="K50" s="357"/>
    </row>
    <row r="51" spans="1:11">
      <c r="A51" s="359"/>
      <c r="B51" s="358"/>
      <c r="G51" s="355"/>
      <c r="H51" s="356"/>
      <c r="J51" s="356"/>
      <c r="K51" s="357"/>
    </row>
    <row r="52" spans="1:11">
      <c r="A52" s="359"/>
      <c r="B52" s="358"/>
      <c r="G52" s="355"/>
      <c r="H52" s="356"/>
      <c r="J52" s="356"/>
      <c r="K52" s="357"/>
    </row>
    <row r="53" spans="1:11">
      <c r="A53" s="359"/>
      <c r="B53" s="358"/>
      <c r="G53" s="355"/>
      <c r="H53" s="356"/>
      <c r="J53" s="356"/>
      <c r="K53" s="357"/>
    </row>
    <row r="54" spans="1:11">
      <c r="A54" s="359"/>
      <c r="B54" s="358"/>
      <c r="G54" s="355"/>
      <c r="H54" s="356"/>
      <c r="J54" s="356"/>
      <c r="K54" s="357"/>
    </row>
    <row r="55" spans="1:11">
      <c r="A55" s="359"/>
      <c r="B55" s="358"/>
      <c r="G55" s="355"/>
      <c r="H55" s="356"/>
      <c r="J55" s="356"/>
      <c r="K55" s="357"/>
    </row>
    <row r="56" spans="1:11">
      <c r="A56" s="359"/>
      <c r="B56" s="358"/>
      <c r="G56" s="355"/>
      <c r="H56" s="356"/>
      <c r="J56" s="356"/>
      <c r="K56" s="357"/>
    </row>
    <row r="57" spans="1:11">
      <c r="A57" s="359"/>
      <c r="B57" s="358"/>
      <c r="G57" s="355"/>
      <c r="H57" s="356"/>
      <c r="J57" s="356"/>
      <c r="K57" s="357"/>
    </row>
    <row r="58" spans="1:11">
      <c r="A58" s="359"/>
      <c r="B58" s="358"/>
      <c r="G58" s="355"/>
      <c r="H58" s="356"/>
      <c r="J58" s="356"/>
      <c r="K58" s="357"/>
    </row>
    <row r="59" spans="1:11">
      <c r="A59" s="359"/>
      <c r="B59" s="358"/>
      <c r="G59" s="355"/>
      <c r="H59" s="356"/>
      <c r="J59" s="356"/>
      <c r="K59" s="357"/>
    </row>
    <row r="60" spans="1:11">
      <c r="A60" s="359"/>
      <c r="B60" s="358"/>
      <c r="G60" s="355"/>
      <c r="H60" s="356"/>
      <c r="J60" s="356"/>
      <c r="K60" s="357"/>
    </row>
    <row r="61" spans="1:11">
      <c r="A61" s="359"/>
      <c r="B61" s="358"/>
      <c r="G61" s="355"/>
      <c r="H61" s="356"/>
      <c r="J61" s="356"/>
      <c r="K61" s="357"/>
    </row>
    <row r="62" spans="1:11">
      <c r="A62" s="359"/>
      <c r="B62" s="358"/>
      <c r="G62" s="355"/>
      <c r="H62" s="356"/>
      <c r="J62" s="356"/>
      <c r="K62" s="357"/>
    </row>
    <row r="63" spans="1:11">
      <c r="A63" s="359"/>
      <c r="B63" s="358"/>
      <c r="G63" s="355"/>
      <c r="H63" s="356"/>
      <c r="J63" s="356"/>
      <c r="K63" s="357"/>
    </row>
    <row r="64" spans="1:11">
      <c r="A64" s="359"/>
      <c r="B64" s="358"/>
      <c r="G64" s="355"/>
      <c r="H64" s="356"/>
      <c r="J64" s="356"/>
      <c r="K64" s="357"/>
    </row>
    <row r="65" spans="1:17">
      <c r="A65" s="359"/>
      <c r="B65" s="358"/>
      <c r="G65" s="355"/>
      <c r="H65" s="356"/>
      <c r="J65" s="356"/>
      <c r="K65" s="357"/>
    </row>
    <row r="66" ht="12" spans="1:17">
      <c r="A66" s="353"/>
      <c r="B66" s="358"/>
      <c r="G66" s="355"/>
      <c r="H66" s="356"/>
      <c r="J66" s="356"/>
      <c r="K66" s="357"/>
    </row>
    <row r="67" ht="15.75" customHeight="1" spans="1:17">
      <c r="A67" s="345" t="s">
        <v>35</v>
      </c>
      <c r="B67" s="346"/>
      <c r="C67" s="346"/>
      <c r="D67" s="346"/>
      <c r="E67" s="346"/>
      <c r="F67" s="346"/>
      <c r="G67" s="346"/>
      <c r="H67" s="346"/>
      <c r="I67" s="346"/>
      <c r="J67" s="347"/>
      <c r="K67" s="365">
        <f>SUM(K5:K66)</f>
        <v>1870</v>
      </c>
    </row>
    <row r="68" ht="12"/>
    <row r="69" ht="12" spans="1:17">
      <c r="A69" s="342" t="s">
        <v>1</v>
      </c>
      <c r="B69" s="343"/>
      <c r="C69" s="343"/>
      <c r="D69" s="343"/>
      <c r="E69" s="343"/>
      <c r="F69" s="343"/>
      <c r="G69" s="344"/>
      <c r="H69" s="342" t="s">
        <v>2</v>
      </c>
      <c r="I69" s="343"/>
      <c r="J69" s="343"/>
      <c r="K69" s="344"/>
    </row>
    <row r="70" ht="12" spans="1:17">
      <c r="A70" s="345" t="s">
        <v>3</v>
      </c>
      <c r="B70" s="346"/>
      <c r="C70" s="346"/>
      <c r="D70" s="346"/>
      <c r="E70" s="346"/>
      <c r="F70" s="346"/>
      <c r="G70" s="347"/>
      <c r="H70" s="345" t="s">
        <v>4</v>
      </c>
      <c r="I70" s="346"/>
      <c r="J70" s="346"/>
      <c r="K70" s="347"/>
    </row>
    <row r="71" ht="23.25" spans="1:17">
      <c r="A71" s="348" t="s">
        <v>5</v>
      </c>
      <c r="B71" s="349" t="s">
        <v>6</v>
      </c>
      <c r="C71" s="350"/>
      <c r="D71" s="350"/>
      <c r="E71" s="350"/>
      <c r="F71" s="350"/>
      <c r="G71" s="351"/>
      <c r="H71" s="348" t="s">
        <v>7</v>
      </c>
      <c r="I71" s="352" t="s">
        <v>8</v>
      </c>
      <c r="J71" s="348" t="s">
        <v>9</v>
      </c>
      <c r="K71" s="348" t="s">
        <v>10</v>
      </c>
      <c r="M71" s="338">
        <v>80</v>
      </c>
      <c r="N71" s="338">
        <v>0.5</v>
      </c>
      <c r="O71" s="338">
        <v>0.6</v>
      </c>
    </row>
    <row r="72" spans="1:17">
      <c r="A72" s="353"/>
      <c r="B72" s="354" t="s">
        <v>36</v>
      </c>
      <c r="G72" s="355"/>
      <c r="H72" s="356"/>
      <c r="J72" s="356"/>
      <c r="K72" s="357"/>
    </row>
    <row r="73" spans="1:17">
      <c r="A73" s="353"/>
      <c r="B73" s="354"/>
      <c r="G73" s="355"/>
      <c r="H73" s="356"/>
      <c r="J73" s="356"/>
      <c r="K73" s="357"/>
    </row>
    <row r="74" spans="1:17">
      <c r="A74" s="363">
        <v>1</v>
      </c>
      <c r="B74" s="354" t="s">
        <v>37</v>
      </c>
      <c r="G74" s="355"/>
      <c r="H74" s="356"/>
      <c r="J74" s="356"/>
      <c r="K74" s="357"/>
    </row>
    <row r="75" spans="1:17">
      <c r="A75" s="353"/>
      <c r="B75" s="354"/>
      <c r="G75" s="355"/>
      <c r="H75" s="356"/>
      <c r="J75" s="356"/>
      <c r="K75" s="357"/>
    </row>
    <row r="76" spans="1:17">
      <c r="A76" s="359">
        <v>1.1</v>
      </c>
      <c r="B76" s="358" t="s">
        <v>38</v>
      </c>
      <c r="G76" s="355"/>
      <c r="H76" s="356"/>
      <c r="J76" s="356"/>
      <c r="K76" s="357"/>
    </row>
    <row r="77" spans="1:17">
      <c r="A77" s="353"/>
      <c r="B77" s="358" t="s">
        <v>39</v>
      </c>
      <c r="G77" s="355"/>
      <c r="H77" s="356"/>
      <c r="J77" s="356"/>
      <c r="K77" s="357"/>
    </row>
    <row r="78" spans="1:17">
      <c r="A78" s="353"/>
      <c r="B78" s="358" t="s">
        <v>40</v>
      </c>
      <c r="C78" s="337"/>
      <c r="D78" s="337"/>
      <c r="E78" s="337"/>
      <c r="F78" s="337"/>
      <c r="G78" s="355"/>
      <c r="H78" s="356"/>
      <c r="I78" s="338"/>
      <c r="J78" s="361">
        <v>53.4</v>
      </c>
      <c r="K78" s="357"/>
    </row>
    <row r="79" spans="1:17">
      <c r="A79" s="353"/>
      <c r="B79" s="366">
        <f>M71</f>
        <v>80</v>
      </c>
      <c r="C79" s="338" t="s">
        <v>41</v>
      </c>
      <c r="D79" s="336">
        <f>N71</f>
        <v>0.5</v>
      </c>
      <c r="E79" s="338" t="s">
        <v>42</v>
      </c>
      <c r="F79" s="338">
        <f>O71</f>
        <v>0.6</v>
      </c>
      <c r="G79" s="367" t="s">
        <v>43</v>
      </c>
      <c r="H79" s="356" t="s">
        <v>44</v>
      </c>
      <c r="I79" s="338">
        <f>B79*D79*F79</f>
        <v>24</v>
      </c>
      <c r="J79" s="361">
        <v>53.4</v>
      </c>
      <c r="K79" s="362">
        <f>I79*J79</f>
        <v>1281.6</v>
      </c>
      <c r="L79" s="338"/>
      <c r="M79" s="338"/>
      <c r="N79" s="338"/>
      <c r="O79" s="338"/>
      <c r="P79" s="368"/>
      <c r="Q79" s="338"/>
    </row>
    <row r="80" spans="1:17">
      <c r="A80" s="353"/>
      <c r="B80" s="358"/>
      <c r="G80" s="355"/>
      <c r="H80" s="356"/>
      <c r="J80" s="356"/>
      <c r="K80" s="357"/>
    </row>
    <row r="81" spans="1:17">
      <c r="A81" s="363">
        <v>2</v>
      </c>
      <c r="B81" s="354" t="s">
        <v>45</v>
      </c>
      <c r="G81" s="355"/>
      <c r="H81" s="356"/>
      <c r="J81" s="356"/>
      <c r="K81" s="357"/>
    </row>
    <row r="82" spans="1:17">
      <c r="A82" s="353"/>
      <c r="B82" s="354"/>
      <c r="G82" s="355"/>
      <c r="H82" s="356"/>
      <c r="J82" s="356"/>
      <c r="K82" s="357"/>
    </row>
    <row r="83" spans="1:17">
      <c r="A83" s="359">
        <v>2.1</v>
      </c>
      <c r="B83" s="358" t="s">
        <v>46</v>
      </c>
      <c r="G83" s="355"/>
      <c r="H83" s="356"/>
      <c r="J83" s="356"/>
      <c r="K83" s="357"/>
    </row>
    <row r="84" spans="1:17">
      <c r="A84" s="353"/>
      <c r="B84" s="358" t="s">
        <v>47</v>
      </c>
      <c r="G84" s="355"/>
      <c r="H84" s="356"/>
      <c r="J84" s="356"/>
      <c r="K84" s="357"/>
    </row>
    <row r="85" spans="1:17">
      <c r="A85" s="353"/>
      <c r="B85" s="358" t="s">
        <v>48</v>
      </c>
      <c r="G85" s="355"/>
      <c r="H85" s="356"/>
      <c r="J85" s="361">
        <v>27.35</v>
      </c>
      <c r="K85" s="362"/>
    </row>
    <row r="86" spans="1:17">
      <c r="A86" s="353"/>
      <c r="B86" s="366">
        <f>M71</f>
        <v>80</v>
      </c>
      <c r="C86" s="338" t="s">
        <v>41</v>
      </c>
      <c r="D86" s="336">
        <f>N71</f>
        <v>0.5</v>
      </c>
      <c r="E86" s="338" t="s">
        <v>49</v>
      </c>
      <c r="G86" s="355"/>
      <c r="H86" s="356" t="s">
        <v>50</v>
      </c>
      <c r="I86" s="338">
        <f>B86*D86</f>
        <v>40</v>
      </c>
      <c r="J86" s="361">
        <v>27.35</v>
      </c>
      <c r="K86" s="362">
        <f>I86*J86</f>
        <v>1094</v>
      </c>
      <c r="L86" s="338"/>
      <c r="M86" s="338"/>
      <c r="N86" s="338"/>
      <c r="O86" s="338"/>
      <c r="P86" s="368"/>
      <c r="Q86" s="338"/>
    </row>
    <row r="87" spans="1:17">
      <c r="A87" s="353"/>
      <c r="B87" s="366"/>
      <c r="C87" s="338"/>
      <c r="D87" s="336"/>
      <c r="E87" s="338"/>
      <c r="G87" s="355"/>
      <c r="H87" s="356"/>
      <c r="J87" s="361"/>
      <c r="K87" s="362"/>
      <c r="L87" s="338"/>
      <c r="M87" s="338"/>
      <c r="N87" s="338"/>
      <c r="O87" s="338"/>
      <c r="P87" s="368"/>
      <c r="Q87" s="338"/>
    </row>
    <row r="88" spans="1:17">
      <c r="A88" s="363">
        <v>3</v>
      </c>
      <c r="B88" s="354" t="s">
        <v>51</v>
      </c>
      <c r="G88" s="355"/>
      <c r="H88" s="356"/>
      <c r="J88" s="356"/>
      <c r="K88" s="357"/>
    </row>
    <row r="89" spans="1:17">
      <c r="A89" s="363"/>
      <c r="B89" s="354"/>
      <c r="G89" s="355"/>
      <c r="H89" s="356"/>
      <c r="J89" s="356"/>
      <c r="K89" s="357"/>
    </row>
    <row r="90" spans="1:17">
      <c r="A90" s="359">
        <v>3.1</v>
      </c>
      <c r="B90" s="358" t="s">
        <v>52</v>
      </c>
      <c r="G90" s="355"/>
      <c r="H90" s="356"/>
      <c r="J90" s="356"/>
      <c r="K90" s="357"/>
    </row>
    <row r="91" spans="1:17">
      <c r="A91" s="353"/>
      <c r="B91" s="358" t="s">
        <v>53</v>
      </c>
      <c r="G91" s="355"/>
      <c r="H91" s="356"/>
      <c r="J91" s="356"/>
      <c r="K91" s="357"/>
    </row>
    <row r="92" spans="1:17">
      <c r="A92" s="353"/>
      <c r="B92" s="358" t="s">
        <v>54</v>
      </c>
      <c r="G92" s="355"/>
      <c r="H92" s="356"/>
      <c r="J92" s="361">
        <v>30.3</v>
      </c>
      <c r="K92" s="357"/>
    </row>
    <row r="93" spans="1:17">
      <c r="A93" s="353"/>
      <c r="B93" s="366">
        <f>M71</f>
        <v>80</v>
      </c>
      <c r="C93" s="338" t="s">
        <v>41</v>
      </c>
      <c r="D93" s="336">
        <f>N71</f>
        <v>0.5</v>
      </c>
      <c r="E93" s="338" t="s">
        <v>49</v>
      </c>
      <c r="G93" s="355"/>
      <c r="H93" s="356" t="s">
        <v>50</v>
      </c>
      <c r="I93" s="338">
        <f>B93*D93</f>
        <v>40</v>
      </c>
      <c r="J93" s="361">
        <v>30.3</v>
      </c>
      <c r="K93" s="362">
        <f t="shared" ref="K93:K116" si="0">I93*J93</f>
        <v>1212</v>
      </c>
      <c r="L93" s="338"/>
      <c r="M93" s="338"/>
      <c r="N93" s="338"/>
      <c r="O93" s="338"/>
      <c r="P93" s="368"/>
      <c r="Q93" s="338"/>
    </row>
    <row r="94" spans="1:17">
      <c r="A94" s="353"/>
      <c r="B94" s="366">
        <f>M71</f>
        <v>80</v>
      </c>
      <c r="C94" s="338" t="s">
        <v>41</v>
      </c>
      <c r="D94" s="336">
        <f>O71</f>
        <v>0.6</v>
      </c>
      <c r="E94" s="338" t="s">
        <v>55</v>
      </c>
      <c r="F94" s="338">
        <v>2</v>
      </c>
      <c r="G94" s="355"/>
      <c r="H94" s="356" t="s">
        <v>50</v>
      </c>
      <c r="I94" s="338">
        <f>B94*D94*F94</f>
        <v>96</v>
      </c>
      <c r="J94" s="361">
        <v>30.3</v>
      </c>
      <c r="K94" s="362">
        <f t="shared" si="0"/>
        <v>2908.8</v>
      </c>
      <c r="L94" s="338"/>
      <c r="M94" s="338"/>
      <c r="N94" s="338"/>
      <c r="O94" s="338"/>
      <c r="P94" s="368"/>
      <c r="Q94" s="338"/>
    </row>
    <row r="95" spans="1:17">
      <c r="A95" s="359"/>
      <c r="B95" s="366"/>
      <c r="C95" s="338"/>
      <c r="D95" s="336"/>
      <c r="E95" s="338"/>
      <c r="F95" s="338"/>
      <c r="G95" s="355"/>
      <c r="H95" s="356"/>
      <c r="J95" s="361"/>
      <c r="K95" s="362"/>
      <c r="L95" s="338"/>
      <c r="M95" s="338"/>
      <c r="N95" s="338"/>
      <c r="O95" s="338"/>
      <c r="P95" s="368"/>
      <c r="Q95" s="338"/>
    </row>
    <row r="96" spans="1:17">
      <c r="A96" s="363">
        <v>4</v>
      </c>
      <c r="B96" s="369" t="s">
        <v>56</v>
      </c>
      <c r="C96" s="338"/>
      <c r="D96" s="336"/>
      <c r="E96" s="338"/>
      <c r="G96" s="355"/>
      <c r="H96" s="356"/>
      <c r="J96" s="361"/>
      <c r="K96" s="362"/>
      <c r="L96" s="338"/>
      <c r="M96" s="338"/>
      <c r="N96" s="338"/>
      <c r="O96" s="338"/>
      <c r="P96" s="368"/>
      <c r="Q96" s="338"/>
    </row>
    <row r="97" spans="1:17">
      <c r="A97" s="363"/>
      <c r="B97" s="370"/>
      <c r="C97" s="338"/>
      <c r="D97" s="336"/>
      <c r="E97" s="338"/>
      <c r="G97" s="355"/>
      <c r="H97" s="356"/>
      <c r="J97" s="361"/>
      <c r="K97" s="362"/>
      <c r="L97" s="338"/>
      <c r="M97" s="338"/>
      <c r="N97" s="338"/>
      <c r="O97" s="338"/>
      <c r="P97" s="368"/>
      <c r="Q97" s="338"/>
    </row>
    <row r="98" spans="1:17">
      <c r="A98" s="359">
        <v>4.1</v>
      </c>
      <c r="B98" s="358" t="s">
        <v>57</v>
      </c>
      <c r="H98" s="364"/>
      <c r="J98" s="361"/>
      <c r="K98" s="362"/>
    </row>
    <row r="99" spans="1:17">
      <c r="A99" s="359"/>
      <c r="B99" s="358" t="s">
        <v>58</v>
      </c>
      <c r="H99" s="364"/>
      <c r="J99" s="356"/>
      <c r="K99" s="357"/>
    </row>
    <row r="100" spans="1:17">
      <c r="A100" s="359"/>
      <c r="B100" s="358" t="s">
        <v>59</v>
      </c>
      <c r="G100" s="355"/>
      <c r="H100" s="356"/>
      <c r="J100" s="361">
        <v>28.05</v>
      </c>
      <c r="K100" s="357"/>
    </row>
    <row r="101" spans="1:17">
      <c r="A101" s="359"/>
      <c r="B101" s="366">
        <f>M71</f>
        <v>80</v>
      </c>
      <c r="C101" s="338" t="s">
        <v>41</v>
      </c>
      <c r="D101" s="336">
        <f>O71</f>
        <v>0.6</v>
      </c>
      <c r="E101" s="338" t="s">
        <v>60</v>
      </c>
      <c r="F101" s="338">
        <v>2</v>
      </c>
      <c r="G101" s="355"/>
      <c r="H101" s="356" t="s">
        <v>50</v>
      </c>
      <c r="I101" s="338">
        <f>B101*D101*F101</f>
        <v>96</v>
      </c>
      <c r="J101" s="361">
        <v>28.05</v>
      </c>
      <c r="K101" s="362">
        <f t="shared" si="0"/>
        <v>2692.8</v>
      </c>
      <c r="L101" s="338"/>
      <c r="M101" s="338"/>
      <c r="N101" s="338"/>
      <c r="O101" s="338"/>
      <c r="P101" s="368"/>
      <c r="Q101" s="338"/>
    </row>
    <row r="102" spans="1:17">
      <c r="A102" s="359"/>
      <c r="B102" s="358"/>
      <c r="G102" s="355"/>
      <c r="H102" s="356"/>
      <c r="J102" s="356"/>
      <c r="K102" s="357"/>
    </row>
    <row r="103" spans="1:17">
      <c r="A103" s="363">
        <v>5</v>
      </c>
      <c r="B103" s="354" t="s">
        <v>61</v>
      </c>
      <c r="G103" s="355"/>
      <c r="H103" s="356"/>
      <c r="J103" s="356"/>
      <c r="K103" s="357"/>
    </row>
    <row r="104" spans="1:17">
      <c r="A104" s="363"/>
      <c r="B104" s="354"/>
      <c r="G104" s="355"/>
      <c r="H104" s="356"/>
      <c r="J104" s="356"/>
      <c r="K104" s="357"/>
    </row>
    <row r="105" spans="1:17">
      <c r="A105" s="359">
        <v>5.1</v>
      </c>
      <c r="B105" s="358" t="s">
        <v>62</v>
      </c>
      <c r="G105" s="355"/>
      <c r="H105" s="356"/>
      <c r="J105" s="356"/>
      <c r="K105" s="357"/>
    </row>
    <row r="106" spans="1:17">
      <c r="A106" s="359"/>
      <c r="B106" s="358" t="s">
        <v>63</v>
      </c>
      <c r="G106" s="355"/>
      <c r="H106" s="356"/>
      <c r="J106" s="356"/>
      <c r="K106" s="357"/>
    </row>
    <row r="107" spans="1:17">
      <c r="A107" s="359"/>
      <c r="B107" s="358" t="s">
        <v>64</v>
      </c>
      <c r="G107" s="355"/>
      <c r="H107" s="356"/>
      <c r="J107" s="356"/>
      <c r="K107" s="357"/>
    </row>
    <row r="108" spans="1:17">
      <c r="A108" s="359"/>
      <c r="B108" s="358" t="s">
        <v>65</v>
      </c>
      <c r="G108" s="355"/>
      <c r="H108" s="356"/>
      <c r="J108" s="356">
        <v>46.01</v>
      </c>
      <c r="K108" s="357"/>
    </row>
    <row r="109" spans="1:17">
      <c r="A109" s="359"/>
      <c r="B109" s="366">
        <f>M71</f>
        <v>80</v>
      </c>
      <c r="C109" s="338" t="s">
        <v>41</v>
      </c>
      <c r="D109" s="336">
        <f>N71</f>
        <v>0.5</v>
      </c>
      <c r="E109" s="338" t="s">
        <v>49</v>
      </c>
      <c r="F109" s="337"/>
      <c r="G109" s="355"/>
      <c r="H109" s="356" t="s">
        <v>50</v>
      </c>
      <c r="I109" s="338">
        <f>B109*D109</f>
        <v>40</v>
      </c>
      <c r="J109" s="361">
        <v>46.01</v>
      </c>
      <c r="K109" s="362">
        <f t="shared" si="0"/>
        <v>1840.4</v>
      </c>
      <c r="L109" s="338"/>
      <c r="M109" s="338"/>
      <c r="N109" s="338"/>
      <c r="O109" s="338"/>
      <c r="P109" s="368"/>
      <c r="Q109" s="338"/>
    </row>
    <row r="110" spans="1:17">
      <c r="A110" s="359"/>
      <c r="B110" s="366">
        <f>M71</f>
        <v>80</v>
      </c>
      <c r="C110" s="338" t="s">
        <v>41</v>
      </c>
      <c r="D110" s="336">
        <f>O71</f>
        <v>0.6</v>
      </c>
      <c r="E110" s="338" t="s">
        <v>60</v>
      </c>
      <c r="F110" s="338">
        <v>2</v>
      </c>
      <c r="G110" s="355"/>
      <c r="H110" s="356" t="s">
        <v>50</v>
      </c>
      <c r="I110" s="338">
        <f>B110*D110*F110</f>
        <v>96</v>
      </c>
      <c r="J110" s="361">
        <v>46.01</v>
      </c>
      <c r="K110" s="362">
        <f t="shared" si="0"/>
        <v>4416.96</v>
      </c>
      <c r="L110" s="338"/>
      <c r="M110" s="338"/>
      <c r="N110" s="338"/>
      <c r="O110" s="338"/>
      <c r="P110" s="368"/>
      <c r="Q110" s="338"/>
    </row>
    <row r="111" spans="1:17">
      <c r="A111" s="359"/>
      <c r="B111" s="358"/>
      <c r="G111" s="355"/>
      <c r="H111" s="356"/>
      <c r="J111" s="356"/>
      <c r="K111" s="357"/>
    </row>
    <row r="112" spans="1:17">
      <c r="A112" s="363">
        <v>6</v>
      </c>
      <c r="B112" s="354" t="s">
        <v>66</v>
      </c>
      <c r="G112" s="355"/>
      <c r="H112" s="356"/>
      <c r="J112" s="356"/>
      <c r="K112" s="357"/>
    </row>
    <row r="113" spans="1:11">
      <c r="A113" s="359"/>
      <c r="B113" s="354"/>
      <c r="G113" s="355"/>
      <c r="H113" s="356"/>
      <c r="J113" s="356"/>
      <c r="K113" s="357"/>
    </row>
    <row r="114" spans="1:11">
      <c r="A114" s="359">
        <v>6.1</v>
      </c>
      <c r="B114" s="358" t="s">
        <v>67</v>
      </c>
      <c r="G114" s="355"/>
      <c r="H114" s="356"/>
      <c r="J114" s="356"/>
      <c r="K114" s="357"/>
    </row>
    <row r="115" spans="1:11">
      <c r="A115" s="359"/>
      <c r="B115" s="358" t="s">
        <v>68</v>
      </c>
      <c r="G115" s="355"/>
      <c r="H115" s="356"/>
      <c r="J115" s="356"/>
      <c r="K115" s="357"/>
    </row>
    <row r="116" spans="1:11">
      <c r="A116" s="359"/>
      <c r="B116" s="366" t="s">
        <v>69</v>
      </c>
      <c r="C116" s="337"/>
      <c r="D116" s="337"/>
      <c r="E116" s="337"/>
      <c r="F116" s="337"/>
      <c r="G116" s="355"/>
      <c r="H116" s="356" t="s">
        <v>70</v>
      </c>
      <c r="I116" s="338">
        <v>1</v>
      </c>
      <c r="J116" s="371">
        <v>17.7</v>
      </c>
      <c r="K116" s="362">
        <f t="shared" si="0"/>
        <v>17.7</v>
      </c>
    </row>
    <row r="117" spans="1:11">
      <c r="A117" s="359"/>
      <c r="B117" s="366"/>
      <c r="G117" s="355"/>
      <c r="H117" s="356"/>
      <c r="J117" s="356"/>
      <c r="K117" s="362"/>
    </row>
    <row r="118" spans="1:11">
      <c r="A118" s="359"/>
      <c r="B118" s="366"/>
      <c r="G118" s="355"/>
      <c r="H118" s="356"/>
      <c r="J118" s="361"/>
      <c r="K118" s="362"/>
    </row>
    <row r="119" spans="1:11">
      <c r="A119" s="363">
        <v>7</v>
      </c>
      <c r="B119" s="354" t="s">
        <v>71</v>
      </c>
      <c r="G119" s="355"/>
      <c r="H119" s="356"/>
      <c r="J119" s="356"/>
      <c r="K119" s="357"/>
    </row>
    <row r="120" spans="1:11">
      <c r="A120" s="359"/>
      <c r="B120" s="354"/>
      <c r="G120" s="355"/>
      <c r="H120" s="356"/>
      <c r="J120" s="356"/>
      <c r="K120" s="357"/>
    </row>
    <row r="121" spans="1:11">
      <c r="A121" s="359">
        <v>7.1</v>
      </c>
      <c r="B121" s="358" t="s">
        <v>72</v>
      </c>
      <c r="G121" s="355"/>
      <c r="H121" s="356"/>
      <c r="J121" s="356"/>
      <c r="K121" s="357"/>
    </row>
    <row r="122" spans="1:11">
      <c r="A122" s="359"/>
      <c r="B122" s="358"/>
      <c r="G122" s="355"/>
      <c r="H122" s="356"/>
      <c r="J122" s="356"/>
      <c r="K122" s="357"/>
    </row>
    <row r="123" spans="1:11">
      <c r="A123" s="359"/>
      <c r="B123" s="366" t="s">
        <v>73</v>
      </c>
      <c r="C123" s="337"/>
      <c r="D123" s="337"/>
      <c r="E123" s="337"/>
      <c r="F123" s="337"/>
      <c r="G123" s="355"/>
      <c r="H123" s="356" t="s">
        <v>21</v>
      </c>
      <c r="I123" s="338"/>
      <c r="J123" s="361">
        <v>425</v>
      </c>
      <c r="K123" s="362">
        <f>J123</f>
        <v>425</v>
      </c>
    </row>
    <row r="124" spans="1:11">
      <c r="A124" s="359"/>
      <c r="B124" s="366"/>
      <c r="C124" s="337"/>
      <c r="D124" s="337"/>
      <c r="E124" s="337"/>
      <c r="F124" s="337"/>
      <c r="G124" s="355"/>
      <c r="H124" s="356"/>
      <c r="I124" s="338"/>
      <c r="J124" s="361"/>
      <c r="K124" s="362"/>
    </row>
    <row r="125" spans="1:11">
      <c r="A125" s="359"/>
      <c r="B125" s="366"/>
      <c r="G125" s="355"/>
      <c r="H125" s="356"/>
      <c r="J125" s="361"/>
      <c r="K125" s="362"/>
    </row>
    <row r="126" spans="1:11">
      <c r="A126" s="359"/>
      <c r="B126" s="366"/>
      <c r="G126" s="355"/>
      <c r="H126" s="356"/>
      <c r="J126" s="361"/>
      <c r="K126" s="362"/>
    </row>
    <row r="127" spans="1:11">
      <c r="A127" s="359"/>
      <c r="B127" s="366"/>
      <c r="G127" s="355"/>
      <c r="H127" s="356"/>
      <c r="J127" s="361"/>
      <c r="K127" s="362"/>
    </row>
    <row r="128" spans="1:11">
      <c r="A128" s="359"/>
      <c r="B128" s="366"/>
      <c r="G128" s="355"/>
      <c r="H128" s="356"/>
      <c r="J128" s="361"/>
      <c r="K128" s="362"/>
    </row>
    <row r="129" spans="1:18">
      <c r="A129" s="359"/>
      <c r="B129" s="366"/>
      <c r="G129" s="355"/>
      <c r="H129" s="356"/>
      <c r="J129" s="361"/>
      <c r="K129" s="362"/>
    </row>
    <row r="130" spans="1:18">
      <c r="A130" s="359"/>
      <c r="B130" s="366"/>
      <c r="G130" s="355"/>
      <c r="H130" s="356"/>
      <c r="J130" s="361"/>
      <c r="K130" s="362"/>
    </row>
    <row r="131" spans="1:18">
      <c r="A131" s="359"/>
      <c r="B131" s="366"/>
      <c r="G131" s="355"/>
      <c r="H131" s="356"/>
      <c r="J131" s="361"/>
      <c r="K131" s="362"/>
    </row>
    <row r="132" spans="1:18">
      <c r="A132" s="359"/>
      <c r="B132" s="366"/>
      <c r="G132" s="355"/>
      <c r="H132" s="356"/>
      <c r="J132" s="361"/>
      <c r="K132" s="362"/>
    </row>
    <row r="133" spans="1:18">
      <c r="A133" s="359"/>
      <c r="B133" s="366"/>
      <c r="C133" s="337"/>
      <c r="D133" s="337"/>
      <c r="E133" s="337"/>
      <c r="F133" s="337"/>
      <c r="G133" s="355"/>
      <c r="H133" s="356"/>
      <c r="I133" s="338"/>
      <c r="J133" s="361"/>
      <c r="K133" s="362"/>
    </row>
    <row r="134" spans="1:18">
      <c r="A134" s="359"/>
      <c r="B134" s="366"/>
      <c r="C134" s="337"/>
      <c r="D134" s="337"/>
      <c r="E134" s="337"/>
      <c r="F134" s="337"/>
      <c r="G134" s="355"/>
      <c r="H134" s="356"/>
      <c r="I134" s="338"/>
      <c r="J134" s="361"/>
      <c r="K134" s="362"/>
    </row>
    <row r="135" spans="1:18">
      <c r="A135" s="359"/>
      <c r="B135" s="366"/>
      <c r="C135" s="337"/>
      <c r="D135" s="337"/>
      <c r="E135" s="337"/>
      <c r="F135" s="337"/>
      <c r="G135" s="355"/>
      <c r="H135" s="356"/>
      <c r="I135" s="338"/>
      <c r="J135" s="361"/>
      <c r="K135" s="362"/>
    </row>
    <row r="136" spans="1:18">
      <c r="A136" s="353"/>
      <c r="B136" s="366"/>
      <c r="G136" s="355"/>
      <c r="H136" s="356"/>
      <c r="J136" s="361"/>
      <c r="K136" s="362"/>
    </row>
    <row r="137" ht="12" spans="1:18">
      <c r="A137" s="345" t="s">
        <v>35</v>
      </c>
      <c r="B137" s="346"/>
      <c r="C137" s="346"/>
      <c r="D137" s="346"/>
      <c r="E137" s="346"/>
      <c r="F137" s="346"/>
      <c r="G137" s="346"/>
      <c r="H137" s="346"/>
      <c r="I137" s="346"/>
      <c r="J137" s="346"/>
      <c r="K137" s="372">
        <f>SUM(K72:K136)</f>
        <v>15889.26</v>
      </c>
    </row>
    <row r="138" ht="12" spans="1:18">
      <c r="A138" s="337"/>
      <c r="B138" s="338"/>
      <c r="J138" s="373"/>
      <c r="K138" s="373"/>
    </row>
    <row r="139" ht="12" spans="1:18">
      <c r="A139" s="342" t="s">
        <v>1</v>
      </c>
      <c r="B139" s="343"/>
      <c r="C139" s="343"/>
      <c r="D139" s="343"/>
      <c r="E139" s="343"/>
      <c r="F139" s="343"/>
      <c r="G139" s="344"/>
      <c r="H139" s="342" t="s">
        <v>2</v>
      </c>
      <c r="I139" s="343"/>
      <c r="J139" s="343"/>
      <c r="K139" s="344"/>
    </row>
    <row r="140" ht="12" spans="1:18">
      <c r="A140" s="345" t="s">
        <v>3</v>
      </c>
      <c r="B140" s="346"/>
      <c r="C140" s="346"/>
      <c r="D140" s="346"/>
      <c r="E140" s="346"/>
      <c r="F140" s="346"/>
      <c r="G140" s="347"/>
      <c r="H140" s="345" t="s">
        <v>4</v>
      </c>
      <c r="I140" s="346"/>
      <c r="J140" s="346"/>
      <c r="K140" s="347"/>
    </row>
    <row r="141" ht="23.25" spans="1:18">
      <c r="A141" s="348" t="s">
        <v>5</v>
      </c>
      <c r="B141" s="349" t="s">
        <v>6</v>
      </c>
      <c r="C141" s="350"/>
      <c r="D141" s="350"/>
      <c r="E141" s="350"/>
      <c r="F141" s="350"/>
      <c r="G141" s="351"/>
      <c r="H141" s="348" t="s">
        <v>7</v>
      </c>
      <c r="I141" s="374" t="s">
        <v>8</v>
      </c>
      <c r="J141" s="348" t="s">
        <v>9</v>
      </c>
      <c r="K141" s="348" t="s">
        <v>10</v>
      </c>
    </row>
    <row r="142" spans="1:18">
      <c r="A142" s="353"/>
      <c r="B142" s="354" t="s">
        <v>74</v>
      </c>
      <c r="G142" s="355"/>
      <c r="H142" s="356"/>
      <c r="J142" s="356"/>
      <c r="K142" s="357"/>
      <c r="N142" s="336"/>
      <c r="O142" s="336"/>
      <c r="P142" s="336"/>
      <c r="Q142" s="336"/>
      <c r="R142" s="338"/>
    </row>
    <row r="143" spans="1:18">
      <c r="A143" s="359"/>
      <c r="B143" s="354"/>
      <c r="G143" s="355"/>
      <c r="H143" s="356"/>
      <c r="J143" s="356"/>
      <c r="K143" s="357"/>
      <c r="N143" s="336"/>
      <c r="O143" s="336"/>
      <c r="P143" s="336"/>
      <c r="Q143" s="336"/>
      <c r="R143" s="338"/>
    </row>
    <row r="144" spans="1:18">
      <c r="A144" s="363">
        <v>1</v>
      </c>
      <c r="B144" s="354" t="s">
        <v>75</v>
      </c>
      <c r="G144" s="355"/>
      <c r="H144" s="356"/>
      <c r="J144" s="356"/>
      <c r="K144" s="357"/>
    </row>
    <row r="145" spans="1:17">
      <c r="A145" s="363"/>
      <c r="B145" s="354"/>
      <c r="G145" s="355"/>
      <c r="H145" s="356"/>
      <c r="J145" s="356"/>
      <c r="K145" s="357"/>
    </row>
    <row r="146" spans="1:17">
      <c r="A146" s="359">
        <v>1.1</v>
      </c>
      <c r="B146" s="358" t="s">
        <v>76</v>
      </c>
      <c r="G146" s="355"/>
      <c r="H146" s="356"/>
      <c r="J146" s="356"/>
      <c r="K146" s="357"/>
    </row>
    <row r="147" spans="1:17">
      <c r="A147" s="359"/>
      <c r="B147" s="358" t="s">
        <v>77</v>
      </c>
      <c r="G147" s="355"/>
      <c r="H147" s="356"/>
      <c r="J147" s="356"/>
      <c r="K147" s="357"/>
    </row>
    <row r="148" spans="1:17">
      <c r="A148" s="359"/>
      <c r="B148" s="358" t="s">
        <v>78</v>
      </c>
      <c r="C148" s="337"/>
      <c r="D148" s="337"/>
      <c r="E148" s="337"/>
      <c r="F148" s="337"/>
      <c r="G148" s="355"/>
      <c r="H148" s="356"/>
      <c r="I148" s="338"/>
      <c r="J148" s="361">
        <v>384.7</v>
      </c>
      <c r="K148" s="357"/>
    </row>
    <row r="149" spans="1:17">
      <c r="A149" s="359"/>
      <c r="B149" s="366">
        <f>M71</f>
        <v>80</v>
      </c>
      <c r="C149" s="338" t="s">
        <v>41</v>
      </c>
      <c r="D149" s="336">
        <f>N71</f>
        <v>0.5</v>
      </c>
      <c r="E149" s="338" t="s">
        <v>79</v>
      </c>
      <c r="F149" s="338">
        <f>O71</f>
        <v>0.6</v>
      </c>
      <c r="G149" s="367" t="s">
        <v>43</v>
      </c>
      <c r="H149" s="356" t="s">
        <v>44</v>
      </c>
      <c r="I149" s="338">
        <f>B149*D149*F149</f>
        <v>24</v>
      </c>
      <c r="J149" s="361">
        <v>384.7</v>
      </c>
      <c r="K149" s="362">
        <f>I149*J149</f>
        <v>9232.8</v>
      </c>
      <c r="L149" s="338"/>
      <c r="M149" s="338"/>
      <c r="N149" s="338"/>
      <c r="O149" s="338"/>
      <c r="P149" s="368"/>
      <c r="Q149" s="338"/>
    </row>
    <row r="150" spans="1:17">
      <c r="A150" s="359"/>
      <c r="B150" s="358"/>
      <c r="G150" s="355"/>
      <c r="H150" s="356"/>
      <c r="J150" s="356"/>
      <c r="K150" s="357"/>
    </row>
    <row r="151" spans="1:17">
      <c r="A151" s="363">
        <v>2</v>
      </c>
      <c r="B151" s="354" t="s">
        <v>56</v>
      </c>
      <c r="G151" s="355"/>
      <c r="H151" s="356"/>
      <c r="J151" s="356"/>
      <c r="K151" s="357"/>
    </row>
    <row r="152" spans="1:17">
      <c r="A152" s="359"/>
      <c r="B152" s="354"/>
      <c r="G152" s="355"/>
      <c r="H152" s="356"/>
      <c r="J152" s="356"/>
      <c r="K152" s="357"/>
    </row>
    <row r="153" spans="1:17">
      <c r="A153" s="359">
        <v>2.1</v>
      </c>
      <c r="B153" s="358" t="s">
        <v>57</v>
      </c>
      <c r="G153" s="355"/>
      <c r="H153" s="356"/>
      <c r="J153" s="356"/>
      <c r="K153" s="357"/>
    </row>
    <row r="154" spans="1:17">
      <c r="A154" s="359"/>
      <c r="B154" s="358" t="s">
        <v>80</v>
      </c>
      <c r="G154" s="355"/>
      <c r="H154" s="356"/>
      <c r="J154" s="356"/>
      <c r="K154" s="357"/>
    </row>
    <row r="155" spans="1:17">
      <c r="A155" s="359"/>
      <c r="B155" s="358" t="s">
        <v>81</v>
      </c>
      <c r="G155" s="355"/>
      <c r="H155" s="356"/>
      <c r="J155" s="361"/>
      <c r="K155" s="362"/>
    </row>
    <row r="156" spans="1:17">
      <c r="A156" s="359"/>
      <c r="B156" s="366">
        <f>M71</f>
        <v>80</v>
      </c>
      <c r="C156" s="338" t="s">
        <v>41</v>
      </c>
      <c r="D156" s="336">
        <f>N71</f>
        <v>0.5</v>
      </c>
      <c r="E156" s="338" t="s">
        <v>79</v>
      </c>
      <c r="F156" s="338">
        <v>1</v>
      </c>
      <c r="G156" s="367"/>
      <c r="H156" s="356" t="s">
        <v>50</v>
      </c>
      <c r="I156" s="338">
        <f>B156*D156*F156</f>
        <v>40</v>
      </c>
      <c r="J156" s="361">
        <v>68.11</v>
      </c>
      <c r="K156" s="362">
        <f>I156*J156</f>
        <v>2724.4</v>
      </c>
      <c r="L156" s="338"/>
      <c r="M156" s="338"/>
      <c r="N156" s="338"/>
      <c r="O156" s="338"/>
      <c r="P156" s="368"/>
      <c r="Q156" s="338"/>
    </row>
    <row r="157" spans="1:17">
      <c r="A157" s="359"/>
      <c r="B157" s="358"/>
      <c r="G157" s="355"/>
      <c r="H157" s="356"/>
      <c r="J157" s="356"/>
      <c r="K157" s="357"/>
    </row>
    <row r="158" spans="1:17">
      <c r="A158" s="363">
        <v>3</v>
      </c>
      <c r="B158" s="354" t="s">
        <v>51</v>
      </c>
      <c r="G158" s="355"/>
      <c r="H158" s="356"/>
      <c r="J158" s="356"/>
      <c r="K158" s="357"/>
    </row>
    <row r="159" spans="1:17">
      <c r="A159" s="359"/>
      <c r="B159" s="354"/>
      <c r="G159" s="355"/>
      <c r="H159" s="356"/>
      <c r="J159" s="356"/>
      <c r="K159" s="357"/>
    </row>
    <row r="160" spans="1:17">
      <c r="A160" s="359">
        <v>3.1</v>
      </c>
      <c r="B160" s="358" t="s">
        <v>82</v>
      </c>
      <c r="G160" s="355"/>
      <c r="H160" s="356"/>
      <c r="J160" s="356"/>
      <c r="K160" s="357"/>
    </row>
    <row r="161" spans="1:17">
      <c r="A161" s="359"/>
      <c r="B161" s="358" t="s">
        <v>83</v>
      </c>
      <c r="G161" s="355"/>
      <c r="H161" s="356"/>
      <c r="J161" s="356"/>
      <c r="K161" s="357"/>
    </row>
    <row r="162" spans="1:17">
      <c r="A162" s="359"/>
      <c r="B162" s="358" t="s">
        <v>84</v>
      </c>
      <c r="G162" s="355"/>
      <c r="H162" s="356"/>
      <c r="J162" s="356"/>
      <c r="K162" s="357"/>
    </row>
    <row r="163" spans="1:17">
      <c r="A163" s="359"/>
      <c r="B163" s="366">
        <f>M71</f>
        <v>80</v>
      </c>
      <c r="C163" s="338" t="s">
        <v>41</v>
      </c>
      <c r="D163" s="336">
        <f>N71</f>
        <v>0.5</v>
      </c>
      <c r="E163" s="338" t="s">
        <v>79</v>
      </c>
      <c r="F163" s="338">
        <v>1</v>
      </c>
      <c r="G163" s="367"/>
      <c r="H163" s="356" t="s">
        <v>50</v>
      </c>
      <c r="I163" s="338">
        <f>B163*D163*F163</f>
        <v>40</v>
      </c>
      <c r="J163" s="361">
        <v>101.8</v>
      </c>
      <c r="K163" s="362">
        <f>I163*J163</f>
        <v>4072</v>
      </c>
      <c r="L163" s="338"/>
      <c r="M163" s="338"/>
      <c r="N163" s="338"/>
      <c r="O163" s="338"/>
      <c r="P163" s="368"/>
      <c r="Q163" s="338"/>
    </row>
    <row r="164" spans="1:17">
      <c r="A164" s="359"/>
      <c r="B164" s="358"/>
      <c r="G164" s="355"/>
      <c r="H164" s="356"/>
      <c r="J164" s="356"/>
      <c r="K164" s="357"/>
    </row>
    <row r="165" spans="1:17">
      <c r="A165" s="363">
        <v>4</v>
      </c>
      <c r="B165" s="354" t="s">
        <v>61</v>
      </c>
      <c r="G165" s="355"/>
      <c r="H165" s="356"/>
      <c r="J165" s="356"/>
      <c r="K165" s="357"/>
    </row>
    <row r="166" spans="1:17">
      <c r="A166" s="359"/>
      <c r="B166" s="354"/>
      <c r="G166" s="355"/>
      <c r="H166" s="356"/>
      <c r="J166" s="356"/>
      <c r="K166" s="357"/>
    </row>
    <row r="167" spans="1:17">
      <c r="A167" s="359">
        <v>4.1</v>
      </c>
      <c r="B167" s="358" t="s">
        <v>62</v>
      </c>
      <c r="G167" s="355"/>
      <c r="H167" s="356"/>
      <c r="J167" s="356"/>
      <c r="K167" s="357"/>
    </row>
    <row r="168" spans="1:17">
      <c r="A168" s="359"/>
      <c r="B168" s="358" t="s">
        <v>63</v>
      </c>
      <c r="G168" s="355"/>
      <c r="H168" s="356"/>
      <c r="J168" s="356"/>
      <c r="K168" s="357"/>
    </row>
    <row r="169" spans="1:17">
      <c r="A169" s="359"/>
      <c r="B169" s="358" t="s">
        <v>64</v>
      </c>
      <c r="G169" s="355"/>
      <c r="H169" s="356"/>
      <c r="J169" s="356"/>
      <c r="K169" s="357"/>
    </row>
    <row r="170" spans="1:17">
      <c r="A170" s="353"/>
      <c r="B170" s="358" t="s">
        <v>65</v>
      </c>
      <c r="C170" s="337"/>
      <c r="D170" s="337"/>
      <c r="E170" s="337"/>
      <c r="F170" s="337"/>
      <c r="G170" s="355"/>
      <c r="H170" s="356"/>
      <c r="I170" s="338"/>
      <c r="J170" s="361">
        <v>46.01</v>
      </c>
      <c r="K170" s="357"/>
    </row>
    <row r="171" spans="1:17">
      <c r="A171" s="353"/>
      <c r="B171" s="366">
        <f>M71</f>
        <v>80</v>
      </c>
      <c r="C171" s="338" t="s">
        <v>41</v>
      </c>
      <c r="D171" s="336">
        <f>N71</f>
        <v>0.5</v>
      </c>
      <c r="E171" s="338" t="s">
        <v>79</v>
      </c>
      <c r="F171" s="338">
        <v>1</v>
      </c>
      <c r="G171" s="367"/>
      <c r="H171" s="356" t="s">
        <v>50</v>
      </c>
      <c r="I171" s="338">
        <f>B171*D171*F171</f>
        <v>40</v>
      </c>
      <c r="J171" s="361">
        <v>46.01</v>
      </c>
      <c r="K171" s="362">
        <f>I171*J171</f>
        <v>1840.4</v>
      </c>
      <c r="L171" s="338"/>
      <c r="M171" s="338"/>
      <c r="N171" s="338"/>
      <c r="O171" s="338"/>
      <c r="P171" s="368"/>
      <c r="Q171" s="338"/>
    </row>
    <row r="172" spans="1:17">
      <c r="A172" s="353"/>
      <c r="B172" s="366"/>
      <c r="C172" s="338"/>
      <c r="D172" s="336"/>
      <c r="E172" s="338"/>
      <c r="F172" s="338"/>
      <c r="G172" s="367"/>
      <c r="H172" s="356"/>
      <c r="I172" s="338"/>
      <c r="J172" s="361"/>
      <c r="K172" s="362"/>
      <c r="L172" s="338"/>
      <c r="M172" s="338"/>
      <c r="N172" s="338"/>
      <c r="O172" s="338"/>
      <c r="P172" s="368"/>
      <c r="Q172" s="338"/>
    </row>
    <row r="173" spans="1:17">
      <c r="A173" s="353"/>
      <c r="B173" s="366"/>
      <c r="C173" s="338"/>
      <c r="D173" s="336"/>
      <c r="E173" s="338"/>
      <c r="F173" s="338"/>
      <c r="G173" s="367"/>
      <c r="H173" s="356"/>
      <c r="I173" s="338"/>
      <c r="J173" s="361"/>
      <c r="K173" s="362"/>
      <c r="L173" s="338"/>
      <c r="M173" s="338"/>
      <c r="N173" s="338"/>
      <c r="O173" s="338"/>
      <c r="P173" s="368"/>
      <c r="Q173" s="338"/>
    </row>
    <row r="174" spans="1:17">
      <c r="A174" s="353"/>
      <c r="B174" s="366"/>
      <c r="C174" s="338"/>
      <c r="D174" s="336"/>
      <c r="E174" s="338"/>
      <c r="F174" s="338"/>
      <c r="G174" s="367"/>
      <c r="H174" s="356"/>
      <c r="I174" s="338"/>
      <c r="J174" s="361"/>
      <c r="K174" s="362"/>
      <c r="L174" s="338"/>
      <c r="M174" s="338"/>
      <c r="N174" s="338"/>
      <c r="O174" s="338"/>
      <c r="P174" s="368"/>
      <c r="Q174" s="338"/>
    </row>
    <row r="175" spans="1:17">
      <c r="A175" s="353"/>
      <c r="B175" s="366"/>
      <c r="C175" s="338"/>
      <c r="D175" s="336"/>
      <c r="E175" s="338"/>
      <c r="F175" s="338"/>
      <c r="G175" s="367"/>
      <c r="H175" s="356"/>
      <c r="J175" s="361"/>
      <c r="K175" s="362"/>
      <c r="L175" s="338"/>
      <c r="M175" s="338"/>
      <c r="N175" s="338"/>
      <c r="O175" s="338"/>
      <c r="P175" s="368"/>
      <c r="Q175" s="338"/>
    </row>
    <row r="176" spans="1:17">
      <c r="A176" s="353"/>
      <c r="B176" s="366"/>
      <c r="C176" s="338"/>
      <c r="D176" s="336"/>
      <c r="E176" s="338"/>
      <c r="F176" s="338"/>
      <c r="G176" s="367"/>
      <c r="H176" s="356"/>
      <c r="J176" s="361"/>
      <c r="K176" s="362"/>
      <c r="L176" s="338"/>
      <c r="M176" s="338"/>
      <c r="N176" s="338"/>
      <c r="O176" s="338"/>
      <c r="P176" s="368"/>
      <c r="Q176" s="338"/>
    </row>
    <row r="177" spans="1:17">
      <c r="A177" s="353"/>
      <c r="B177" s="366"/>
      <c r="C177" s="338"/>
      <c r="D177" s="336"/>
      <c r="E177" s="338"/>
      <c r="F177" s="338"/>
      <c r="G177" s="367"/>
      <c r="H177" s="356"/>
      <c r="J177" s="361"/>
      <c r="K177" s="362"/>
      <c r="L177" s="338"/>
      <c r="M177" s="338"/>
      <c r="N177" s="338"/>
      <c r="O177" s="338"/>
      <c r="P177" s="368"/>
      <c r="Q177" s="338"/>
    </row>
    <row r="178" spans="1:17">
      <c r="A178" s="353"/>
      <c r="B178" s="366"/>
      <c r="C178" s="338"/>
      <c r="D178" s="336"/>
      <c r="E178" s="338"/>
      <c r="F178" s="338"/>
      <c r="G178" s="367"/>
      <c r="H178" s="356"/>
      <c r="J178" s="361"/>
      <c r="K178" s="362"/>
      <c r="L178" s="338"/>
      <c r="M178" s="338"/>
      <c r="N178" s="338"/>
      <c r="O178" s="338"/>
      <c r="P178" s="368"/>
      <c r="Q178" s="338"/>
    </row>
    <row r="179" spans="1:17">
      <c r="A179" s="353"/>
      <c r="B179" s="366"/>
      <c r="C179" s="338"/>
      <c r="D179" s="336"/>
      <c r="E179" s="338"/>
      <c r="F179" s="338"/>
      <c r="G179" s="367"/>
      <c r="H179" s="356"/>
      <c r="J179" s="361"/>
      <c r="K179" s="362"/>
      <c r="L179" s="338"/>
      <c r="M179" s="338"/>
      <c r="N179" s="338"/>
      <c r="O179" s="338"/>
      <c r="P179" s="368"/>
      <c r="Q179" s="338"/>
    </row>
    <row r="180" spans="1:17">
      <c r="A180" s="353"/>
      <c r="B180" s="366"/>
      <c r="C180" s="338"/>
      <c r="D180" s="336"/>
      <c r="E180" s="338"/>
      <c r="F180" s="338"/>
      <c r="G180" s="367"/>
      <c r="H180" s="356"/>
      <c r="J180" s="361"/>
      <c r="K180" s="362"/>
      <c r="L180" s="338"/>
      <c r="M180" s="338"/>
      <c r="N180" s="338"/>
      <c r="O180" s="338"/>
      <c r="P180" s="368"/>
      <c r="Q180" s="338"/>
    </row>
    <row r="181" spans="1:17">
      <c r="A181" s="353"/>
      <c r="B181" s="366"/>
      <c r="C181" s="338"/>
      <c r="D181" s="336"/>
      <c r="E181" s="338"/>
      <c r="F181" s="338"/>
      <c r="G181" s="367"/>
      <c r="H181" s="356"/>
      <c r="J181" s="361"/>
      <c r="K181" s="362"/>
      <c r="L181" s="338"/>
      <c r="M181" s="338"/>
      <c r="N181" s="338"/>
      <c r="O181" s="338"/>
      <c r="P181" s="368"/>
      <c r="Q181" s="338"/>
    </row>
    <row r="182" spans="1:17">
      <c r="A182" s="353"/>
      <c r="B182" s="366"/>
      <c r="C182" s="338"/>
      <c r="D182" s="336"/>
      <c r="E182" s="338"/>
      <c r="F182" s="338"/>
      <c r="G182" s="367"/>
      <c r="H182" s="356"/>
      <c r="J182" s="361"/>
      <c r="K182" s="362"/>
      <c r="L182" s="338"/>
      <c r="M182" s="338"/>
      <c r="N182" s="338"/>
      <c r="O182" s="338"/>
      <c r="P182" s="368"/>
      <c r="Q182" s="338"/>
    </row>
    <row r="183" spans="1:17">
      <c r="A183" s="353"/>
      <c r="B183" s="366"/>
      <c r="C183" s="338"/>
      <c r="D183" s="336"/>
      <c r="E183" s="338"/>
      <c r="F183" s="338"/>
      <c r="G183" s="367"/>
      <c r="H183" s="356"/>
      <c r="J183" s="361"/>
      <c r="K183" s="362"/>
      <c r="L183" s="338"/>
      <c r="M183" s="338"/>
      <c r="N183" s="338"/>
      <c r="O183" s="338"/>
      <c r="P183" s="368"/>
      <c r="Q183" s="338"/>
    </row>
    <row r="184" spans="1:17">
      <c r="A184" s="353"/>
      <c r="B184" s="366"/>
      <c r="C184" s="338"/>
      <c r="D184" s="336"/>
      <c r="E184" s="338"/>
      <c r="F184" s="338"/>
      <c r="G184" s="367"/>
      <c r="H184" s="356"/>
      <c r="J184" s="361"/>
      <c r="K184" s="362"/>
      <c r="L184" s="338"/>
      <c r="M184" s="338"/>
      <c r="N184" s="338"/>
      <c r="O184" s="338"/>
      <c r="P184" s="368"/>
      <c r="Q184" s="338"/>
    </row>
    <row r="185" spans="1:17">
      <c r="A185" s="353"/>
      <c r="B185" s="366"/>
      <c r="C185" s="338"/>
      <c r="D185" s="336"/>
      <c r="E185" s="338"/>
      <c r="F185" s="338"/>
      <c r="G185" s="367"/>
      <c r="H185" s="356"/>
      <c r="J185" s="361"/>
      <c r="K185" s="362"/>
      <c r="L185" s="338"/>
      <c r="M185" s="338"/>
      <c r="N185" s="338"/>
      <c r="O185" s="338"/>
      <c r="P185" s="368"/>
      <c r="Q185" s="338"/>
    </row>
    <row r="186" spans="1:17">
      <c r="A186" s="353"/>
      <c r="B186" s="366"/>
      <c r="C186" s="338"/>
      <c r="D186" s="336"/>
      <c r="E186" s="338"/>
      <c r="F186" s="338"/>
      <c r="G186" s="367"/>
      <c r="H186" s="356"/>
      <c r="J186" s="361"/>
      <c r="K186" s="362"/>
      <c r="L186" s="338"/>
      <c r="M186" s="338"/>
      <c r="N186" s="338"/>
      <c r="O186" s="338"/>
      <c r="P186" s="368"/>
      <c r="Q186" s="338"/>
    </row>
    <row r="187" spans="1:17">
      <c r="A187" s="353"/>
      <c r="B187" s="366"/>
      <c r="C187" s="338"/>
      <c r="D187" s="336"/>
      <c r="E187" s="338"/>
      <c r="F187" s="338"/>
      <c r="G187" s="367"/>
      <c r="H187" s="356"/>
      <c r="J187" s="361"/>
      <c r="K187" s="362"/>
      <c r="L187" s="338"/>
      <c r="M187" s="338"/>
      <c r="N187" s="338"/>
      <c r="O187" s="338"/>
      <c r="P187" s="368"/>
      <c r="Q187" s="338"/>
    </row>
    <row r="188" spans="1:17">
      <c r="A188" s="353"/>
      <c r="B188" s="366"/>
      <c r="C188" s="338"/>
      <c r="D188" s="336"/>
      <c r="E188" s="338"/>
      <c r="F188" s="338"/>
      <c r="G188" s="367"/>
      <c r="H188" s="356"/>
      <c r="J188" s="361"/>
      <c r="K188" s="362"/>
      <c r="L188" s="338"/>
      <c r="M188" s="338"/>
      <c r="N188" s="338"/>
      <c r="O188" s="338"/>
      <c r="P188" s="368"/>
      <c r="Q188" s="338"/>
    </row>
    <row r="189" spans="1:17">
      <c r="A189" s="353"/>
      <c r="B189" s="366"/>
      <c r="C189" s="338"/>
      <c r="D189" s="336"/>
      <c r="E189" s="338"/>
      <c r="F189" s="338"/>
      <c r="G189" s="367"/>
      <c r="H189" s="356"/>
      <c r="J189" s="361"/>
      <c r="K189" s="362"/>
      <c r="L189" s="338"/>
      <c r="M189" s="338"/>
      <c r="N189" s="338"/>
      <c r="O189" s="338"/>
      <c r="P189" s="368"/>
      <c r="Q189" s="338"/>
    </row>
    <row r="190" spans="1:17">
      <c r="A190" s="353"/>
      <c r="B190" s="366"/>
      <c r="C190" s="338"/>
      <c r="D190" s="336"/>
      <c r="E190" s="338"/>
      <c r="F190" s="338"/>
      <c r="G190" s="367"/>
      <c r="H190" s="356"/>
      <c r="J190" s="361"/>
      <c r="K190" s="362"/>
      <c r="L190" s="338"/>
      <c r="M190" s="338"/>
      <c r="N190" s="338"/>
      <c r="O190" s="338"/>
      <c r="P190" s="368"/>
      <c r="Q190" s="338"/>
    </row>
    <row r="191" spans="1:17">
      <c r="A191" s="353"/>
      <c r="B191" s="366"/>
      <c r="C191" s="338"/>
      <c r="D191" s="336"/>
      <c r="E191" s="338"/>
      <c r="F191" s="338"/>
      <c r="G191" s="367"/>
      <c r="H191" s="356"/>
      <c r="J191" s="361"/>
      <c r="K191" s="362"/>
      <c r="L191" s="338"/>
      <c r="M191" s="338"/>
      <c r="N191" s="338"/>
      <c r="O191" s="338"/>
      <c r="P191" s="368"/>
      <c r="Q191" s="338"/>
    </row>
    <row r="192" spans="1:17">
      <c r="A192" s="353"/>
      <c r="B192" s="366"/>
      <c r="C192" s="338"/>
      <c r="D192" s="336"/>
      <c r="E192" s="338"/>
      <c r="F192" s="338"/>
      <c r="G192" s="367"/>
      <c r="H192" s="356"/>
      <c r="J192" s="361"/>
      <c r="K192" s="362"/>
      <c r="L192" s="338"/>
      <c r="M192" s="338"/>
      <c r="N192" s="338"/>
      <c r="O192" s="338"/>
      <c r="P192" s="368"/>
      <c r="Q192" s="338"/>
    </row>
    <row r="193" spans="1:17">
      <c r="A193" s="353"/>
      <c r="B193" s="366"/>
      <c r="C193" s="338"/>
      <c r="D193" s="336"/>
      <c r="E193" s="338"/>
      <c r="F193" s="338"/>
      <c r="G193" s="367"/>
      <c r="H193" s="356"/>
      <c r="J193" s="361"/>
      <c r="K193" s="362"/>
      <c r="L193" s="338"/>
      <c r="M193" s="338"/>
      <c r="N193" s="338"/>
      <c r="O193" s="338"/>
      <c r="P193" s="368"/>
      <c r="Q193" s="338"/>
    </row>
    <row r="194" spans="1:17">
      <c r="A194" s="353"/>
      <c r="B194" s="366"/>
      <c r="C194" s="338"/>
      <c r="D194" s="336"/>
      <c r="E194" s="338"/>
      <c r="F194" s="338"/>
      <c r="G194" s="367"/>
      <c r="H194" s="356"/>
      <c r="J194" s="361"/>
      <c r="K194" s="362"/>
      <c r="L194" s="338"/>
      <c r="M194" s="338"/>
      <c r="N194" s="338"/>
      <c r="O194" s="338"/>
      <c r="P194" s="368"/>
      <c r="Q194" s="338"/>
    </row>
    <row r="195" spans="1:17">
      <c r="A195" s="353"/>
      <c r="B195" s="366"/>
      <c r="C195" s="338"/>
      <c r="D195" s="336"/>
      <c r="E195" s="338"/>
      <c r="F195" s="338"/>
      <c r="G195" s="367"/>
      <c r="H195" s="356"/>
      <c r="J195" s="361"/>
      <c r="K195" s="362"/>
      <c r="L195" s="338"/>
      <c r="M195" s="338"/>
      <c r="N195" s="338"/>
      <c r="O195" s="338"/>
      <c r="P195" s="368"/>
      <c r="Q195" s="338"/>
    </row>
    <row r="196" spans="1:17">
      <c r="A196" s="353"/>
      <c r="B196" s="366"/>
      <c r="C196" s="338"/>
      <c r="D196" s="336"/>
      <c r="E196" s="338"/>
      <c r="F196" s="338"/>
      <c r="G196" s="367"/>
      <c r="H196" s="356"/>
      <c r="J196" s="361"/>
      <c r="K196" s="362"/>
      <c r="L196" s="338"/>
      <c r="M196" s="338"/>
      <c r="N196" s="338"/>
      <c r="O196" s="338"/>
      <c r="P196" s="368"/>
      <c r="Q196" s="338"/>
    </row>
    <row r="197" spans="1:17">
      <c r="A197" s="353"/>
      <c r="B197" s="366"/>
      <c r="C197" s="338"/>
      <c r="D197" s="336"/>
      <c r="E197" s="338"/>
      <c r="F197" s="338"/>
      <c r="G197" s="367"/>
      <c r="H197" s="356"/>
      <c r="I197" s="338"/>
      <c r="J197" s="361"/>
      <c r="K197" s="362"/>
      <c r="L197" s="338"/>
      <c r="M197" s="338"/>
      <c r="N197" s="338"/>
      <c r="O197" s="338"/>
      <c r="P197" s="368"/>
      <c r="Q197" s="338"/>
    </row>
    <row r="198" spans="1:17">
      <c r="A198" s="353"/>
      <c r="B198" s="366"/>
      <c r="C198" s="338"/>
      <c r="D198" s="336"/>
      <c r="E198" s="338"/>
      <c r="F198" s="338"/>
      <c r="G198" s="367"/>
      <c r="H198" s="356"/>
      <c r="I198" s="338"/>
      <c r="J198" s="361"/>
      <c r="K198" s="362"/>
      <c r="L198" s="338"/>
      <c r="M198" s="338"/>
      <c r="N198" s="338"/>
      <c r="O198" s="338"/>
      <c r="P198" s="368"/>
      <c r="Q198" s="338"/>
    </row>
    <row r="199" spans="1:17">
      <c r="A199" s="353"/>
      <c r="B199" s="366"/>
      <c r="C199" s="338"/>
      <c r="D199" s="336"/>
      <c r="E199" s="338"/>
      <c r="F199" s="338"/>
      <c r="G199" s="367"/>
      <c r="H199" s="356"/>
      <c r="I199" s="338"/>
      <c r="J199" s="361"/>
      <c r="K199" s="362"/>
      <c r="L199" s="338"/>
      <c r="M199" s="338"/>
      <c r="N199" s="338"/>
      <c r="O199" s="338"/>
      <c r="P199" s="368"/>
      <c r="Q199" s="338"/>
    </row>
    <row r="200" spans="1:17">
      <c r="A200" s="353"/>
      <c r="B200" s="366"/>
      <c r="C200" s="338"/>
      <c r="D200" s="336"/>
      <c r="E200" s="338"/>
      <c r="F200" s="338"/>
      <c r="G200" s="367"/>
      <c r="H200" s="356"/>
      <c r="I200" s="338"/>
      <c r="J200" s="361"/>
      <c r="K200" s="362"/>
      <c r="L200" s="338"/>
      <c r="M200" s="338"/>
      <c r="N200" s="338"/>
      <c r="O200" s="338"/>
      <c r="P200" s="368"/>
      <c r="Q200" s="338"/>
    </row>
    <row r="201" spans="1:17">
      <c r="A201" s="353"/>
      <c r="B201" s="366"/>
      <c r="C201" s="338"/>
      <c r="D201" s="336"/>
      <c r="E201" s="338"/>
      <c r="F201" s="338"/>
      <c r="G201" s="367"/>
      <c r="H201" s="356"/>
      <c r="I201" s="338"/>
      <c r="J201" s="361"/>
      <c r="K201" s="362"/>
      <c r="L201" s="338"/>
      <c r="M201" s="338"/>
      <c r="N201" s="338"/>
      <c r="O201" s="338"/>
      <c r="P201" s="368"/>
      <c r="Q201" s="338"/>
    </row>
    <row r="202" spans="1:17">
      <c r="A202" s="353"/>
      <c r="B202" s="366"/>
      <c r="C202" s="338"/>
      <c r="D202" s="336"/>
      <c r="E202" s="338"/>
      <c r="F202" s="338"/>
      <c r="G202" s="367"/>
      <c r="H202" s="356"/>
      <c r="I202" s="338"/>
      <c r="J202" s="361"/>
      <c r="K202" s="362"/>
      <c r="L202" s="338"/>
      <c r="M202" s="338"/>
      <c r="N202" s="338"/>
      <c r="O202" s="338"/>
      <c r="P202" s="368"/>
      <c r="Q202" s="338"/>
    </row>
    <row r="203" spans="1:17">
      <c r="A203" s="353"/>
      <c r="B203" s="366"/>
      <c r="C203" s="338"/>
      <c r="D203" s="336"/>
      <c r="E203" s="338"/>
      <c r="F203" s="338"/>
      <c r="G203" s="367"/>
      <c r="H203" s="356"/>
      <c r="I203" s="338"/>
      <c r="J203" s="361"/>
      <c r="K203" s="362"/>
      <c r="L203" s="338"/>
      <c r="M203" s="338"/>
      <c r="N203" s="338"/>
      <c r="O203" s="338"/>
      <c r="P203" s="368"/>
      <c r="Q203" s="338"/>
    </row>
    <row r="204" spans="1:17">
      <c r="A204" s="353"/>
      <c r="B204" s="366"/>
      <c r="C204" s="338"/>
      <c r="D204" s="336"/>
      <c r="E204" s="338"/>
      <c r="F204" s="338"/>
      <c r="G204" s="367"/>
      <c r="H204" s="356"/>
      <c r="I204" s="338"/>
      <c r="J204" s="361"/>
      <c r="K204" s="362"/>
      <c r="L204" s="338"/>
      <c r="M204" s="338"/>
      <c r="N204" s="338"/>
      <c r="O204" s="338"/>
      <c r="P204" s="368"/>
      <c r="Q204" s="338"/>
    </row>
    <row r="205" spans="1:17">
      <c r="A205" s="353"/>
      <c r="B205" s="366"/>
      <c r="C205" s="338"/>
      <c r="D205" s="336"/>
      <c r="E205" s="338"/>
      <c r="F205" s="338"/>
      <c r="G205" s="367"/>
      <c r="H205" s="356"/>
      <c r="I205" s="338"/>
      <c r="J205" s="361"/>
      <c r="K205" s="362"/>
      <c r="L205" s="338"/>
      <c r="M205" s="338"/>
      <c r="N205" s="338"/>
      <c r="O205" s="338"/>
      <c r="P205" s="368"/>
      <c r="Q205" s="338"/>
    </row>
    <row r="206" spans="1:17">
      <c r="A206" s="353"/>
      <c r="B206" s="366"/>
      <c r="C206" s="338"/>
      <c r="D206" s="336"/>
      <c r="E206" s="338"/>
      <c r="F206" s="338"/>
      <c r="G206" s="367"/>
      <c r="H206" s="356"/>
      <c r="I206" s="338"/>
      <c r="J206" s="361"/>
      <c r="K206" s="362"/>
      <c r="L206" s="338"/>
      <c r="M206" s="338"/>
      <c r="N206" s="338"/>
      <c r="O206" s="338"/>
      <c r="P206" s="368"/>
      <c r="Q206" s="338"/>
    </row>
    <row r="207" spans="1:17">
      <c r="A207" s="353"/>
      <c r="B207" s="366"/>
      <c r="C207" s="338"/>
      <c r="D207" s="336"/>
      <c r="E207" s="338"/>
      <c r="F207" s="338"/>
      <c r="G207" s="367"/>
      <c r="H207" s="356"/>
      <c r="I207" s="338"/>
      <c r="J207" s="361"/>
      <c r="K207" s="362"/>
      <c r="L207" s="338"/>
      <c r="M207" s="338"/>
      <c r="N207" s="338"/>
      <c r="O207" s="338"/>
      <c r="P207" s="368"/>
      <c r="Q207" s="338"/>
    </row>
    <row r="208" spans="1:17">
      <c r="A208" s="353"/>
      <c r="B208" s="358"/>
      <c r="G208" s="355"/>
      <c r="H208" s="356"/>
      <c r="J208" s="356"/>
      <c r="K208" s="357"/>
    </row>
    <row r="209" ht="12" spans="1:11">
      <c r="A209" s="345" t="s">
        <v>35</v>
      </c>
      <c r="B209" s="346"/>
      <c r="C209" s="346"/>
      <c r="D209" s="346"/>
      <c r="E209" s="346"/>
      <c r="F209" s="346"/>
      <c r="G209" s="346"/>
      <c r="H209" s="346"/>
      <c r="I209" s="346"/>
      <c r="J209" s="347"/>
      <c r="K209" s="375">
        <f>SUM(K142:K208)</f>
        <v>17869.6</v>
      </c>
    </row>
    <row r="210" ht="12" spans="1:11">
      <c r="A210" s="337"/>
    </row>
    <row r="211" ht="12" spans="1:11">
      <c r="A211" s="342" t="s">
        <v>1</v>
      </c>
      <c r="B211" s="343"/>
      <c r="C211" s="343"/>
      <c r="D211" s="343"/>
      <c r="E211" s="343"/>
      <c r="F211" s="343"/>
      <c r="G211" s="344"/>
      <c r="H211" s="376" t="s">
        <v>2</v>
      </c>
      <c r="I211" s="377"/>
      <c r="J211" s="377"/>
      <c r="K211" s="378"/>
    </row>
    <row r="212" ht="12" spans="1:11">
      <c r="A212" s="345" t="s">
        <v>3</v>
      </c>
      <c r="B212" s="346"/>
      <c r="C212" s="346"/>
      <c r="D212" s="346"/>
      <c r="E212" s="346"/>
      <c r="F212" s="346"/>
      <c r="G212" s="347"/>
      <c r="H212" s="345" t="s">
        <v>4</v>
      </c>
      <c r="I212" s="346"/>
      <c r="J212" s="346"/>
      <c r="K212" s="347"/>
    </row>
    <row r="213" ht="23.25" spans="1:11">
      <c r="A213" s="348" t="s">
        <v>5</v>
      </c>
      <c r="B213" s="349" t="s">
        <v>6</v>
      </c>
      <c r="C213" s="350"/>
      <c r="D213" s="350"/>
      <c r="E213" s="350"/>
      <c r="F213" s="350"/>
      <c r="G213" s="351"/>
      <c r="H213" s="348" t="s">
        <v>7</v>
      </c>
      <c r="I213" s="374" t="s">
        <v>8</v>
      </c>
      <c r="J213" s="348" t="s">
        <v>9</v>
      </c>
      <c r="K213" s="348" t="s">
        <v>10</v>
      </c>
    </row>
    <row r="214" spans="1:11">
      <c r="A214" s="353"/>
      <c r="B214" s="354" t="s">
        <v>85</v>
      </c>
      <c r="G214" s="355"/>
      <c r="H214" s="356"/>
      <c r="J214" s="356"/>
      <c r="K214" s="357"/>
    </row>
    <row r="215" spans="1:11">
      <c r="A215" s="359"/>
      <c r="B215" s="354"/>
      <c r="G215" s="355"/>
      <c r="H215" s="356"/>
      <c r="J215" s="356"/>
      <c r="K215" s="357"/>
    </row>
    <row r="216" spans="1:11">
      <c r="A216" s="363">
        <v>1</v>
      </c>
      <c r="B216" s="354" t="s">
        <v>86</v>
      </c>
      <c r="G216" s="355"/>
      <c r="H216" s="356"/>
      <c r="J216" s="356"/>
      <c r="K216" s="357"/>
    </row>
    <row r="217" spans="1:11">
      <c r="A217" s="363"/>
      <c r="B217" s="354"/>
      <c r="G217" s="355"/>
      <c r="H217" s="356"/>
      <c r="J217" s="356"/>
      <c r="K217" s="357"/>
    </row>
    <row r="218" spans="1:11">
      <c r="A218" s="359">
        <v>1.1</v>
      </c>
      <c r="B218" s="358" t="s">
        <v>87</v>
      </c>
      <c r="G218" s="355"/>
      <c r="H218" s="356"/>
      <c r="J218" s="356"/>
      <c r="K218" s="357"/>
    </row>
    <row r="219" spans="1:11">
      <c r="A219" s="359"/>
      <c r="B219" s="358" t="s">
        <v>88</v>
      </c>
      <c r="C219" s="337"/>
      <c r="D219" s="337"/>
      <c r="E219" s="337"/>
      <c r="F219" s="337"/>
      <c r="G219" s="355"/>
      <c r="H219" s="356" t="s">
        <v>89</v>
      </c>
      <c r="I219" s="338">
        <v>2</v>
      </c>
      <c r="J219" s="361">
        <v>110.46</v>
      </c>
      <c r="K219" s="362">
        <f>I219*J219</f>
        <v>220.92</v>
      </c>
    </row>
    <row r="220" spans="1:11">
      <c r="A220" s="359"/>
      <c r="B220" s="358"/>
      <c r="G220" s="355"/>
      <c r="H220" s="356"/>
      <c r="J220" s="356"/>
      <c r="K220" s="357"/>
    </row>
    <row r="221" spans="1:11">
      <c r="A221" s="363">
        <v>2</v>
      </c>
      <c r="B221" s="354" t="s">
        <v>90</v>
      </c>
      <c r="G221" s="355"/>
      <c r="H221" s="356"/>
      <c r="J221" s="356"/>
      <c r="K221" s="357"/>
    </row>
    <row r="222" spans="1:11">
      <c r="A222" s="363"/>
      <c r="B222" s="354"/>
      <c r="G222" s="355"/>
      <c r="H222" s="356"/>
      <c r="J222" s="356"/>
      <c r="K222" s="357"/>
    </row>
    <row r="223" spans="1:11">
      <c r="A223" s="359">
        <v>2.1</v>
      </c>
      <c r="B223" s="358" t="s">
        <v>91</v>
      </c>
      <c r="G223" s="355"/>
      <c r="H223" s="356"/>
      <c r="J223" s="356"/>
      <c r="K223" s="357"/>
    </row>
    <row r="224" spans="1:11">
      <c r="A224" s="359"/>
      <c r="B224" s="358" t="s">
        <v>92</v>
      </c>
      <c r="G224" s="355"/>
      <c r="H224" s="356"/>
      <c r="J224" s="356"/>
      <c r="K224" s="357"/>
    </row>
    <row r="225" spans="1:11">
      <c r="A225" s="353"/>
      <c r="B225" s="358" t="s">
        <v>93</v>
      </c>
      <c r="C225" s="337"/>
      <c r="D225" s="337"/>
      <c r="E225" s="337"/>
      <c r="F225" s="337"/>
      <c r="G225" s="355"/>
      <c r="H225" s="356" t="s">
        <v>89</v>
      </c>
      <c r="I225" s="338">
        <v>2</v>
      </c>
      <c r="J225" s="361">
        <v>177.65</v>
      </c>
      <c r="K225" s="362">
        <f>I225*J225</f>
        <v>355.3</v>
      </c>
    </row>
    <row r="226" spans="1:11">
      <c r="A226" s="353"/>
      <c r="B226" s="358"/>
      <c r="G226" s="355"/>
      <c r="H226" s="356"/>
      <c r="J226" s="361"/>
      <c r="K226" s="362"/>
    </row>
    <row r="227" spans="1:11">
      <c r="A227" s="353"/>
      <c r="B227" s="358"/>
      <c r="G227" s="355"/>
      <c r="H227" s="356"/>
      <c r="J227" s="361"/>
      <c r="K227" s="362"/>
    </row>
    <row r="228" spans="1:11">
      <c r="A228" s="353"/>
      <c r="B228" s="358"/>
      <c r="G228" s="355"/>
      <c r="H228" s="356"/>
      <c r="J228" s="361"/>
      <c r="K228" s="362"/>
    </row>
    <row r="229" spans="1:11">
      <c r="A229" s="353"/>
      <c r="B229" s="358"/>
      <c r="G229" s="355"/>
      <c r="H229" s="356"/>
      <c r="J229" s="361"/>
      <c r="K229" s="362"/>
    </row>
    <row r="230" spans="1:11">
      <c r="A230" s="353"/>
      <c r="B230" s="358"/>
      <c r="G230" s="355"/>
      <c r="H230" s="356"/>
      <c r="J230" s="361"/>
      <c r="K230" s="362"/>
    </row>
    <row r="231" spans="1:11">
      <c r="A231" s="353"/>
      <c r="B231" s="358"/>
      <c r="G231" s="355"/>
      <c r="H231" s="356"/>
      <c r="J231" s="361"/>
      <c r="K231" s="362"/>
    </row>
    <row r="232" spans="1:11">
      <c r="A232" s="353"/>
      <c r="B232" s="358"/>
      <c r="G232" s="355"/>
      <c r="H232" s="356"/>
      <c r="J232" s="361"/>
      <c r="K232" s="362"/>
    </row>
    <row r="233" spans="1:11">
      <c r="A233" s="353"/>
      <c r="B233" s="358"/>
      <c r="G233" s="355"/>
      <c r="H233" s="356"/>
      <c r="J233" s="361"/>
      <c r="K233" s="362"/>
    </row>
    <row r="234" spans="1:11">
      <c r="A234" s="353"/>
      <c r="B234" s="358"/>
      <c r="G234" s="355"/>
      <c r="H234" s="356"/>
      <c r="J234" s="361"/>
      <c r="K234" s="362"/>
    </row>
    <row r="235" spans="1:11">
      <c r="A235" s="353"/>
      <c r="B235" s="358"/>
      <c r="G235" s="355"/>
      <c r="H235" s="356"/>
      <c r="J235" s="361"/>
      <c r="K235" s="362"/>
    </row>
    <row r="236" spans="1:11">
      <c r="A236" s="353"/>
      <c r="B236" s="358"/>
      <c r="G236" s="355"/>
      <c r="H236" s="356"/>
      <c r="J236" s="361"/>
      <c r="K236" s="362"/>
    </row>
    <row r="237" spans="1:11">
      <c r="A237" s="353"/>
      <c r="B237" s="358"/>
      <c r="G237" s="355"/>
      <c r="H237" s="356"/>
      <c r="J237" s="361"/>
      <c r="K237" s="362"/>
    </row>
    <row r="238" spans="1:11">
      <c r="A238" s="353"/>
      <c r="B238" s="358"/>
      <c r="G238" s="355"/>
      <c r="H238" s="356"/>
      <c r="J238" s="361"/>
      <c r="K238" s="362"/>
    </row>
    <row r="239" spans="1:11">
      <c r="A239" s="353"/>
      <c r="B239" s="358"/>
      <c r="G239" s="355"/>
      <c r="H239" s="356"/>
      <c r="J239" s="361"/>
      <c r="K239" s="362"/>
    </row>
    <row r="240" spans="1:11">
      <c r="A240" s="353"/>
      <c r="B240" s="358"/>
      <c r="G240" s="355"/>
      <c r="H240" s="356"/>
      <c r="J240" s="361"/>
      <c r="K240" s="362"/>
    </row>
    <row r="241" spans="1:11">
      <c r="A241" s="353"/>
      <c r="B241" s="358"/>
      <c r="G241" s="355"/>
      <c r="H241" s="356"/>
      <c r="J241" s="361"/>
      <c r="K241" s="362"/>
    </row>
    <row r="242" spans="1:11">
      <c r="A242" s="353"/>
      <c r="B242" s="358"/>
      <c r="G242" s="355"/>
      <c r="H242" s="356"/>
      <c r="J242" s="361"/>
      <c r="K242" s="362"/>
    </row>
    <row r="243" spans="1:11">
      <c r="A243" s="353"/>
      <c r="B243" s="358"/>
      <c r="G243" s="355"/>
      <c r="H243" s="356"/>
      <c r="J243" s="361"/>
      <c r="K243" s="362"/>
    </row>
    <row r="244" spans="1:11">
      <c r="A244" s="353"/>
      <c r="B244" s="358"/>
      <c r="G244" s="355"/>
      <c r="H244" s="356"/>
      <c r="J244" s="361"/>
      <c r="K244" s="362"/>
    </row>
    <row r="245" spans="1:11">
      <c r="A245" s="353"/>
      <c r="B245" s="358"/>
      <c r="G245" s="355"/>
      <c r="H245" s="356"/>
      <c r="J245" s="361"/>
      <c r="K245" s="362"/>
    </row>
    <row r="246" spans="1:11">
      <c r="A246" s="353"/>
      <c r="B246" s="358"/>
      <c r="G246" s="355"/>
      <c r="H246" s="356"/>
      <c r="J246" s="361"/>
      <c r="K246" s="362"/>
    </row>
    <row r="247" spans="1:11">
      <c r="A247" s="353"/>
      <c r="B247" s="358"/>
      <c r="G247" s="355"/>
      <c r="H247" s="356"/>
      <c r="J247" s="361"/>
      <c r="K247" s="362"/>
    </row>
    <row r="248" spans="1:11">
      <c r="A248" s="353"/>
      <c r="B248" s="358"/>
      <c r="G248" s="355"/>
      <c r="H248" s="356"/>
      <c r="J248" s="361"/>
      <c r="K248" s="362"/>
    </row>
    <row r="249" spans="1:11">
      <c r="A249" s="353"/>
      <c r="B249" s="358"/>
      <c r="G249" s="355"/>
      <c r="H249" s="356"/>
      <c r="J249" s="361"/>
      <c r="K249" s="362"/>
    </row>
    <row r="250" spans="1:11">
      <c r="A250" s="353"/>
      <c r="B250" s="358"/>
      <c r="G250" s="355"/>
      <c r="H250" s="356"/>
      <c r="J250" s="361"/>
      <c r="K250" s="362"/>
    </row>
    <row r="251" spans="1:11">
      <c r="A251" s="353"/>
      <c r="B251" s="358"/>
      <c r="G251" s="355"/>
      <c r="H251" s="356"/>
      <c r="J251" s="361"/>
      <c r="K251" s="362"/>
    </row>
    <row r="252" spans="1:11">
      <c r="A252" s="353"/>
      <c r="B252" s="358"/>
      <c r="G252" s="355"/>
      <c r="H252" s="356"/>
      <c r="J252" s="361"/>
      <c r="K252" s="362"/>
    </row>
    <row r="253" spans="1:11">
      <c r="A253" s="353"/>
      <c r="B253" s="358"/>
      <c r="G253" s="355"/>
      <c r="H253" s="356"/>
      <c r="J253" s="361"/>
      <c r="K253" s="362"/>
    </row>
    <row r="254" spans="1:11">
      <c r="A254" s="353"/>
      <c r="B254" s="358"/>
      <c r="G254" s="355"/>
      <c r="H254" s="356"/>
      <c r="J254" s="361"/>
      <c r="K254" s="362"/>
    </row>
    <row r="255" spans="1:11">
      <c r="A255" s="353"/>
      <c r="B255" s="358"/>
      <c r="G255" s="355"/>
      <c r="H255" s="356"/>
      <c r="J255" s="361"/>
      <c r="K255" s="362"/>
    </row>
    <row r="256" spans="1:11">
      <c r="A256" s="353"/>
      <c r="B256" s="358"/>
      <c r="G256" s="355"/>
      <c r="H256" s="356"/>
      <c r="J256" s="361"/>
      <c r="K256" s="362"/>
    </row>
    <row r="257" spans="1:11">
      <c r="A257" s="353"/>
      <c r="B257" s="358"/>
      <c r="G257" s="355"/>
      <c r="H257" s="356"/>
      <c r="J257" s="361"/>
      <c r="K257" s="362"/>
    </row>
    <row r="258" spans="1:11">
      <c r="A258" s="353"/>
      <c r="B258" s="358"/>
      <c r="G258" s="355"/>
      <c r="H258" s="356"/>
      <c r="J258" s="361"/>
      <c r="K258" s="362"/>
    </row>
    <row r="259" spans="1:11">
      <c r="A259" s="353"/>
      <c r="B259" s="358"/>
      <c r="G259" s="355"/>
      <c r="H259" s="356"/>
      <c r="J259" s="361"/>
      <c r="K259" s="362"/>
    </row>
    <row r="260" spans="1:11">
      <c r="A260" s="353"/>
      <c r="B260" s="358"/>
      <c r="G260" s="355"/>
      <c r="H260" s="356"/>
      <c r="J260" s="361"/>
      <c r="K260" s="362"/>
    </row>
    <row r="261" spans="1:11">
      <c r="A261" s="353"/>
      <c r="B261" s="358"/>
      <c r="G261" s="355"/>
      <c r="H261" s="356"/>
      <c r="J261" s="361"/>
      <c r="K261" s="362"/>
    </row>
    <row r="262" spans="1:11">
      <c r="A262" s="353"/>
      <c r="B262" s="358"/>
      <c r="G262" s="355"/>
      <c r="H262" s="356"/>
      <c r="J262" s="361"/>
      <c r="K262" s="362"/>
    </row>
    <row r="263" spans="1:11">
      <c r="A263" s="353"/>
      <c r="B263" s="358"/>
      <c r="G263" s="355"/>
      <c r="H263" s="356"/>
      <c r="J263" s="361"/>
      <c r="K263" s="362"/>
    </row>
    <row r="264" spans="1:11">
      <c r="A264" s="353"/>
      <c r="B264" s="358"/>
      <c r="G264" s="355"/>
      <c r="H264" s="356"/>
      <c r="J264" s="361"/>
      <c r="K264" s="362"/>
    </row>
    <row r="265" spans="1:11">
      <c r="A265" s="353"/>
      <c r="B265" s="358"/>
      <c r="G265" s="355"/>
      <c r="H265" s="356"/>
      <c r="J265" s="361"/>
      <c r="K265" s="362"/>
    </row>
    <row r="266" spans="1:11">
      <c r="A266" s="353"/>
      <c r="B266" s="358"/>
      <c r="G266" s="355"/>
      <c r="H266" s="356"/>
      <c r="J266" s="361"/>
      <c r="K266" s="362"/>
    </row>
    <row r="267" spans="1:11">
      <c r="A267" s="353"/>
      <c r="B267" s="358"/>
      <c r="G267" s="355"/>
      <c r="H267" s="356"/>
      <c r="J267" s="361"/>
      <c r="K267" s="362"/>
    </row>
    <row r="268" spans="1:11">
      <c r="A268" s="353"/>
      <c r="B268" s="358"/>
      <c r="G268" s="355"/>
      <c r="H268" s="356"/>
      <c r="J268" s="361"/>
      <c r="K268" s="362"/>
    </row>
    <row r="269" spans="1:11">
      <c r="A269" s="353"/>
      <c r="B269" s="358"/>
      <c r="G269" s="355"/>
      <c r="H269" s="356"/>
      <c r="J269" s="361"/>
      <c r="K269" s="362"/>
    </row>
    <row r="270" spans="1:11">
      <c r="A270" s="353"/>
      <c r="B270" s="358"/>
      <c r="G270" s="355"/>
      <c r="H270" s="356"/>
      <c r="J270" s="361"/>
      <c r="K270" s="362"/>
    </row>
    <row r="271" spans="1:11">
      <c r="A271" s="353"/>
      <c r="B271" s="358"/>
      <c r="G271" s="355"/>
      <c r="H271" s="356"/>
      <c r="J271" s="361"/>
      <c r="K271" s="362"/>
    </row>
    <row r="272" spans="1:11">
      <c r="A272" s="353"/>
      <c r="B272" s="358"/>
      <c r="G272" s="355"/>
      <c r="H272" s="356"/>
      <c r="J272" s="361"/>
      <c r="K272" s="362"/>
    </row>
    <row r="273" spans="1:11">
      <c r="A273" s="353"/>
      <c r="B273" s="358"/>
      <c r="G273" s="355"/>
      <c r="H273" s="356"/>
      <c r="J273" s="361"/>
      <c r="K273" s="362"/>
    </row>
    <row r="274" spans="1:11">
      <c r="A274" s="353"/>
      <c r="B274" s="358"/>
      <c r="G274" s="355"/>
      <c r="H274" s="356"/>
      <c r="J274" s="361"/>
      <c r="K274" s="362"/>
    </row>
    <row r="275" spans="1:11">
      <c r="A275" s="353"/>
      <c r="B275" s="358"/>
      <c r="G275" s="355"/>
      <c r="H275" s="356"/>
      <c r="J275" s="361"/>
      <c r="K275" s="362"/>
    </row>
    <row r="276" spans="1:11">
      <c r="A276" s="353"/>
      <c r="B276" s="358"/>
      <c r="G276" s="355"/>
      <c r="H276" s="356"/>
      <c r="J276" s="361"/>
      <c r="K276" s="362"/>
    </row>
    <row r="277" spans="1:11">
      <c r="A277" s="353"/>
      <c r="B277" s="358"/>
      <c r="G277" s="355"/>
      <c r="H277" s="356"/>
      <c r="J277" s="361"/>
      <c r="K277" s="362"/>
    </row>
    <row r="278" spans="1:11">
      <c r="A278" s="353"/>
      <c r="B278" s="358"/>
      <c r="G278" s="355"/>
      <c r="H278" s="356"/>
      <c r="J278" s="361"/>
      <c r="K278" s="362"/>
    </row>
    <row r="279" spans="1:11">
      <c r="A279" s="353"/>
      <c r="B279" s="358"/>
      <c r="G279" s="355"/>
      <c r="H279" s="356"/>
      <c r="J279" s="361"/>
      <c r="K279" s="362"/>
    </row>
    <row r="280" spans="1:11">
      <c r="A280" s="353"/>
      <c r="B280" s="358"/>
      <c r="G280" s="355"/>
      <c r="H280" s="356"/>
      <c r="J280" s="361"/>
      <c r="K280" s="362"/>
    </row>
    <row r="281" ht="12" spans="1:11">
      <c r="A281" s="353"/>
      <c r="B281" s="366"/>
      <c r="G281" s="355"/>
      <c r="H281" s="356"/>
      <c r="J281" s="361"/>
      <c r="K281" s="362"/>
    </row>
    <row r="282" spans="1:11">
      <c r="A282" s="345" t="s">
        <v>35</v>
      </c>
      <c r="B282" s="346"/>
      <c r="C282" s="346"/>
      <c r="D282" s="346"/>
      <c r="E282" s="346"/>
      <c r="F282" s="346"/>
      <c r="G282" s="346"/>
      <c r="H282" s="346"/>
      <c r="I282" s="346"/>
      <c r="J282" s="347"/>
      <c r="K282" s="365">
        <f>SUM(K214:K281)</f>
        <v>576.22</v>
      </c>
    </row>
    <row r="283" ht="12"/>
    <row r="284" ht="12" spans="1:11">
      <c r="A284" s="379" t="s">
        <v>6</v>
      </c>
      <c r="B284" s="380"/>
      <c r="C284" s="380"/>
      <c r="D284" s="380"/>
      <c r="E284" s="380"/>
      <c r="F284" s="380"/>
      <c r="G284" s="380"/>
      <c r="H284" s="380"/>
      <c r="I284" s="380"/>
      <c r="J284" s="381"/>
      <c r="K284" s="382" t="s">
        <v>10</v>
      </c>
    </row>
    <row r="285" spans="1:11">
      <c r="A285" s="383"/>
      <c r="B285" s="384"/>
      <c r="H285" s="337"/>
      <c r="I285" s="337"/>
      <c r="J285" s="337"/>
      <c r="K285" s="385"/>
    </row>
    <row r="286" spans="1:11">
      <c r="A286" s="383"/>
      <c r="B286" s="384" t="s">
        <v>12</v>
      </c>
      <c r="H286" s="337"/>
      <c r="I286" s="337"/>
      <c r="J286" s="337"/>
      <c r="K286" s="386">
        <f>K67</f>
        <v>1870</v>
      </c>
    </row>
    <row r="287" spans="1:11">
      <c r="A287" s="383"/>
      <c r="B287" s="338"/>
      <c r="H287" s="337"/>
      <c r="I287" s="337"/>
      <c r="J287" s="337"/>
      <c r="K287" s="385"/>
    </row>
    <row r="288" spans="1:11">
      <c r="A288" s="383"/>
      <c r="B288" s="384" t="s">
        <v>36</v>
      </c>
      <c r="H288" s="337"/>
      <c r="I288" s="337"/>
      <c r="J288" s="337"/>
      <c r="K288" s="387"/>
    </row>
    <row r="289" spans="1:11">
      <c r="A289" s="383"/>
      <c r="B289" s="338" t="s">
        <v>3</v>
      </c>
      <c r="H289" s="337"/>
      <c r="I289" s="337"/>
      <c r="J289" s="337"/>
      <c r="K289" s="386">
        <f>K137</f>
        <v>15889.26</v>
      </c>
    </row>
    <row r="290" spans="1:11">
      <c r="A290" s="383"/>
      <c r="B290" s="338"/>
      <c r="H290" s="337"/>
      <c r="I290" s="337"/>
      <c r="J290" s="337"/>
      <c r="K290" s="386"/>
    </row>
    <row r="291" spans="1:11">
      <c r="A291" s="383"/>
      <c r="B291" s="384" t="s">
        <v>74</v>
      </c>
      <c r="H291" s="337"/>
      <c r="I291" s="337"/>
      <c r="J291" s="337"/>
      <c r="K291" s="386"/>
    </row>
    <row r="292" spans="1:11">
      <c r="A292" s="383"/>
      <c r="B292" s="338" t="str">
        <f>B289</f>
        <v>JALAN SG 6/14 </v>
      </c>
      <c r="H292" s="337"/>
      <c r="I292" s="337"/>
      <c r="J292" s="337"/>
      <c r="K292" s="386">
        <f>K209</f>
        <v>17869.6</v>
      </c>
    </row>
    <row r="293" spans="1:11">
      <c r="A293" s="383"/>
      <c r="B293" s="338"/>
      <c r="H293" s="337"/>
      <c r="I293" s="337"/>
      <c r="J293" s="337"/>
      <c r="K293" s="386"/>
    </row>
    <row r="294" spans="1:11">
      <c r="A294" s="383"/>
      <c r="B294" s="384" t="s">
        <v>85</v>
      </c>
      <c r="H294" s="337"/>
      <c r="I294" s="337"/>
      <c r="J294" s="337"/>
      <c r="K294" s="386">
        <f>K282</f>
        <v>576.22</v>
      </c>
    </row>
    <row r="295" spans="1:11">
      <c r="A295" s="383"/>
      <c r="B295" s="338" t="s">
        <v>3</v>
      </c>
      <c r="H295" s="337"/>
      <c r="I295" s="337"/>
      <c r="J295" s="337"/>
      <c r="K295" s="386"/>
    </row>
    <row r="296" ht="12" spans="1:11">
      <c r="A296" s="383"/>
      <c r="B296" s="338"/>
      <c r="H296" s="337"/>
      <c r="I296" s="337"/>
      <c r="J296" s="337"/>
      <c r="K296" s="386"/>
    </row>
    <row r="297" spans="1:11">
      <c r="A297" s="388" t="s">
        <v>35</v>
      </c>
      <c r="B297" s="389"/>
      <c r="C297" s="389"/>
      <c r="D297" s="389"/>
      <c r="E297" s="389"/>
      <c r="F297" s="389"/>
      <c r="G297" s="389"/>
      <c r="H297" s="389"/>
      <c r="I297" s="389"/>
      <c r="J297" s="390"/>
      <c r="K297" s="372">
        <f>SUM(K285:K296)</f>
        <v>36205.08</v>
      </c>
    </row>
    <row r="299" spans="1:11">
      <c r="B299" s="338" t="s">
        <v>94</v>
      </c>
    </row>
    <row r="300" spans="1:11">
      <c r="B300" s="338" t="s">
        <v>95</v>
      </c>
    </row>
    <row r="301" spans="1:11">
      <c r="B301" s="338" t="s">
        <v>96</v>
      </c>
      <c r="J301" s="373"/>
      <c r="K301" s="373"/>
    </row>
    <row r="302" spans="1:11">
      <c r="B302" s="338" t="s">
        <v>97</v>
      </c>
    </row>
    <row r="303" spans="1:11">
      <c r="B303" s="338" t="s">
        <v>98</v>
      </c>
    </row>
    <row r="305" spans="2:11">
      <c r="B305" s="338" t="s">
        <v>99</v>
      </c>
      <c r="H305" s="338" t="s">
        <v>100</v>
      </c>
    </row>
    <row r="306" spans="2:11">
      <c r="B306" s="338" t="s">
        <v>101</v>
      </c>
      <c r="H306" s="338" t="s">
        <v>102</v>
      </c>
    </row>
    <row r="307" spans="2:11">
      <c r="B307" s="338" t="s">
        <v>103</v>
      </c>
      <c r="H307" s="338" t="s">
        <v>104</v>
      </c>
    </row>
    <row r="308" spans="2:11">
      <c r="H308" s="337"/>
    </row>
    <row r="309" spans="2:11">
      <c r="B309" s="391" t="s">
        <v>105</v>
      </c>
      <c r="H309" s="338" t="s">
        <v>106</v>
      </c>
    </row>
    <row r="310" spans="2:11">
      <c r="H310" s="337"/>
    </row>
    <row r="311" spans="2:11">
      <c r="H311" s="337"/>
    </row>
    <row r="312" spans="2:11">
      <c r="H312" s="337"/>
    </row>
    <row r="313" spans="2:11">
      <c r="B313" s="392"/>
      <c r="C313" s="393"/>
      <c r="D313" s="393"/>
      <c r="E313" s="392"/>
      <c r="F313" s="392"/>
      <c r="H313" s="394"/>
      <c r="I313" s="393"/>
      <c r="J313" s="393"/>
    </row>
    <row r="314" spans="2:11">
      <c r="J314" s="373"/>
      <c r="K314" s="373"/>
    </row>
    <row r="317" spans="2:11">
      <c r="J317" s="373"/>
      <c r="K317" s="373"/>
    </row>
    <row r="357" spans="2:11">
      <c r="B357" s="336"/>
      <c r="C357" s="336"/>
      <c r="D357" s="336"/>
      <c r="E357" s="336"/>
      <c r="F357" s="336"/>
      <c r="G357" s="336"/>
      <c r="H357" s="336"/>
      <c r="I357" s="336"/>
      <c r="J357" s="336"/>
      <c r="K357" s="373"/>
    </row>
  </sheetData>
  <mergeCells count="32">
    <mergeCell ref="A1:K1"/>
    <mergeCell ref="A2:G2"/>
    <mergeCell ref="H2:K2"/>
    <mergeCell ref="A3:G3"/>
    <mergeCell ref="H3:K3"/>
    <mergeCell ref="N3:O3"/>
    <mergeCell ref="B4:G4"/>
    <mergeCell ref="A67:J67"/>
    <mergeCell ref="A69:G69"/>
    <mergeCell ref="H69:K69"/>
    <mergeCell ref="A70:G70"/>
    <mergeCell ref="H70:K70"/>
    <mergeCell ref="B71:G71"/>
    <mergeCell ref="A137:J137"/>
    <mergeCell ref="A139:G139"/>
    <mergeCell ref="H139:K139"/>
    <mergeCell ref="A140:G140"/>
    <mergeCell ref="H140:K140"/>
    <mergeCell ref="B141:G141"/>
    <mergeCell ref="N142:O142"/>
    <mergeCell ref="P142:Q142"/>
    <mergeCell ref="A209:J209"/>
    <mergeCell ref="A211:G211"/>
    <mergeCell ref="H211:K211"/>
    <mergeCell ref="A212:G212"/>
    <mergeCell ref="H212:K212"/>
    <mergeCell ref="B213:G213"/>
    <mergeCell ref="A282:J282"/>
    <mergeCell ref="A284:J284"/>
    <mergeCell ref="A297:J297"/>
    <mergeCell ref="E313:F313"/>
    <mergeCell ref="A357:J357"/>
  </mergeCells>
  <printOptions horizontalCentered="1"/>
  <pageMargins left="0.354330708661417" right="0.47244094488189" top="0.15748031496063" bottom="0.15748031496063" header="0.31496062992126" footer="0.31496062992126"/>
  <pageSetup paperSize="1" scale="96" fitToHeight="0" orientation="portrait" horizontalDpi="600" verticalDpi="600"/>
  <headerFooter/>
  <rowBreaks count="3" manualBreakCount="3">
    <brk id="67" max="10" man="1"/>
    <brk id="137" max="10" man="1"/>
    <brk id="209" max="10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79"/>
  <sheetViews>
    <sheetView showGridLines="0" zoomScale="55" zoomScaleNormal="55" zoomScaleSheetLayoutView="55" topLeftCell="A306" workbookViewId="0">
      <selection activeCell="X322" sqref="X322"/>
    </sheetView>
  </sheetViews>
  <sheetFormatPr defaultColWidth="9" defaultRowHeight="30.75"/>
  <cols>
    <col min="1" max="1" width="8.57037037037037" style="123" customWidth="1"/>
    <col min="2" max="2" width="13.7111111111111" style="124" customWidth="1"/>
    <col min="3" max="3" width="12.2814814814815" style="124" customWidth="1"/>
    <col min="4" max="4" width="5.57037037037037" style="125" customWidth="1"/>
    <col min="5" max="5" width="14.8518518518519" style="124" customWidth="1"/>
    <col min="6" max="6" width="7.71111111111111" style="124" customWidth="1"/>
    <col min="7" max="7" width="7.14074074074074" style="124" customWidth="1"/>
    <col min="8" max="8" width="5" style="124" customWidth="1"/>
    <col min="9" max="9" width="13.4222222222222" style="124" customWidth="1"/>
    <col min="10" max="10" width="98.2814814814815" style="124" customWidth="1"/>
    <col min="11" max="11" width="8.42222222222222" style="123" customWidth="1"/>
    <col min="12" max="12" width="23" style="123" customWidth="1"/>
    <col min="13" max="13" width="13.5703703703704" style="124" customWidth="1"/>
    <col min="14" max="14" width="24.1407407407407" style="126" customWidth="1"/>
    <col min="15" max="15" width="9.14074074074074" style="124"/>
    <col min="16" max="16" width="22.5703703703704" style="124" customWidth="1"/>
    <col min="17" max="17" width="37.5703703703704" style="124" customWidth="1"/>
    <col min="18" max="18" width="37.5703703703704" style="127" customWidth="1"/>
    <col min="19" max="20" width="9.14074074074074" style="124"/>
    <col min="21" max="21" width="23.7111111111111" style="124" customWidth="1"/>
    <col min="22" max="16384" width="9.14074074074074" style="124"/>
  </cols>
  <sheetData>
    <row r="1" ht="14.25" customHeight="1" spans="1:18">
      <c r="A1" s="128" t="s">
        <v>107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30"/>
    </row>
    <row r="2" ht="57" customHeight="1" spans="1:18">
      <c r="A2" s="131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3"/>
    </row>
    <row r="3" ht="42.6" customHeight="1" spans="1:18">
      <c r="A3" s="134" t="s">
        <v>2</v>
      </c>
      <c r="B3" s="135"/>
      <c r="C3" s="135"/>
      <c r="D3" s="135"/>
      <c r="E3" s="135"/>
      <c r="F3" s="136"/>
      <c r="G3" s="137" t="s">
        <v>1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ht="42.6" customHeight="1" spans="1:18">
      <c r="A4" s="137" t="s">
        <v>108</v>
      </c>
      <c r="B4" s="138"/>
      <c r="C4" s="138"/>
      <c r="D4" s="138"/>
      <c r="E4" s="138"/>
      <c r="F4" s="139"/>
      <c r="G4" s="137" t="s">
        <v>109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ht="42.6" customHeight="1" spans="1:18">
      <c r="A5" s="137" t="s">
        <v>110</v>
      </c>
      <c r="B5" s="138"/>
      <c r="C5" s="138"/>
      <c r="D5" s="138"/>
      <c r="E5" s="138"/>
      <c r="F5" s="139"/>
      <c r="G5" s="137" t="s">
        <v>111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9"/>
    </row>
    <row r="6" ht="54.75" customHeight="1" spans="1:18">
      <c r="A6" s="140" t="s">
        <v>5</v>
      </c>
      <c r="B6" s="141" t="s">
        <v>6</v>
      </c>
      <c r="C6" s="142"/>
      <c r="D6" s="142"/>
      <c r="E6" s="142"/>
      <c r="F6" s="142"/>
      <c r="G6" s="143"/>
      <c r="H6" s="143"/>
      <c r="I6" s="143"/>
      <c r="J6" s="143"/>
      <c r="K6" s="143"/>
      <c r="L6" s="144"/>
      <c r="M6" s="145" t="s">
        <v>7</v>
      </c>
      <c r="N6" s="145" t="s">
        <v>8</v>
      </c>
      <c r="O6" s="146" t="s">
        <v>9</v>
      </c>
      <c r="P6" s="147"/>
      <c r="Q6" s="145" t="s">
        <v>10</v>
      </c>
      <c r="R6" s="148" t="s">
        <v>10</v>
      </c>
    </row>
    <row r="7" ht="42.6" customHeight="1" spans="1:18">
      <c r="A7" s="149"/>
      <c r="B7" s="150" t="s">
        <v>11</v>
      </c>
      <c r="M7" s="151"/>
      <c r="N7" s="151"/>
      <c r="O7" s="152"/>
      <c r="P7" s="153"/>
      <c r="Q7" s="152"/>
      <c r="R7" s="154"/>
    </row>
    <row r="8" ht="42.6" customHeight="1" spans="1:18">
      <c r="A8" s="149"/>
      <c r="B8" s="155"/>
      <c r="C8" s="156"/>
      <c r="D8" s="156"/>
      <c r="E8" s="156"/>
      <c r="F8" s="156"/>
      <c r="G8" s="156"/>
      <c r="H8" s="156"/>
      <c r="I8" s="156"/>
      <c r="M8" s="157"/>
      <c r="N8" s="157"/>
      <c r="O8" s="158"/>
      <c r="P8" s="159"/>
      <c r="Q8" s="158"/>
      <c r="R8" s="160"/>
    </row>
    <row r="9" ht="42.6" customHeight="1" spans="1:18">
      <c r="A9" s="149"/>
      <c r="B9" s="161" t="s">
        <v>12</v>
      </c>
      <c r="M9" s="157"/>
      <c r="N9" s="157"/>
      <c r="O9" s="158"/>
      <c r="P9" s="159"/>
      <c r="Q9" s="158"/>
      <c r="R9" s="160"/>
    </row>
    <row r="10" ht="42.6" customHeight="1" spans="1:18">
      <c r="A10" s="149"/>
      <c r="B10" s="162"/>
      <c r="C10" s="163"/>
      <c r="D10" s="163"/>
      <c r="E10" s="163"/>
      <c r="F10" s="163"/>
      <c r="G10" s="163"/>
      <c r="H10" s="163"/>
      <c r="I10" s="163"/>
      <c r="J10" s="163"/>
      <c r="K10" s="163"/>
      <c r="L10" s="163"/>
      <c r="M10" s="157"/>
      <c r="N10" s="157"/>
      <c r="O10" s="158"/>
      <c r="P10" s="159"/>
      <c r="Q10" s="158"/>
      <c r="R10" s="160"/>
    </row>
    <row r="11" ht="42.6" customHeight="1" spans="1:18">
      <c r="A11" s="164" t="s">
        <v>112</v>
      </c>
      <c r="B11" s="165" t="s">
        <v>14</v>
      </c>
      <c r="C11" s="163"/>
      <c r="D11" s="163"/>
      <c r="E11" s="163"/>
      <c r="F11" s="163"/>
      <c r="G11" s="163"/>
      <c r="H11" s="163"/>
      <c r="I11" s="163"/>
      <c r="J11" s="163"/>
      <c r="M11" s="157"/>
      <c r="N11" s="157"/>
      <c r="O11" s="158"/>
      <c r="P11" s="159"/>
      <c r="Q11" s="158"/>
      <c r="R11" s="160"/>
    </row>
    <row r="12" ht="42.6" customHeight="1" spans="1:18">
      <c r="A12" s="164"/>
      <c r="B12" s="165" t="s">
        <v>113</v>
      </c>
      <c r="C12" s="163"/>
      <c r="D12" s="163"/>
      <c r="E12" s="163"/>
      <c r="F12" s="163"/>
      <c r="G12" s="163"/>
      <c r="H12" s="163"/>
      <c r="I12" s="163"/>
      <c r="J12" s="163"/>
      <c r="M12" s="157"/>
      <c r="N12" s="157"/>
      <c r="O12" s="158"/>
      <c r="P12" s="159"/>
      <c r="Q12" s="158"/>
      <c r="R12" s="160"/>
    </row>
    <row r="13" ht="42.6" customHeight="1" spans="1:18">
      <c r="A13" s="164"/>
      <c r="B13" s="165" t="s">
        <v>114</v>
      </c>
      <c r="C13" s="163"/>
      <c r="D13" s="163"/>
      <c r="E13" s="163"/>
      <c r="F13" s="163"/>
      <c r="G13" s="163"/>
      <c r="H13" s="163"/>
      <c r="I13" s="163"/>
      <c r="J13" s="163"/>
      <c r="M13" s="157"/>
      <c r="N13" s="157"/>
      <c r="O13" s="158"/>
      <c r="P13" s="159"/>
      <c r="Q13" s="158"/>
      <c r="R13" s="160"/>
    </row>
    <row r="14" ht="42.6" customHeight="1" spans="1:18">
      <c r="A14" s="164"/>
      <c r="B14" s="165" t="s">
        <v>115</v>
      </c>
      <c r="C14" s="163"/>
      <c r="D14" s="163"/>
      <c r="E14" s="163"/>
      <c r="F14" s="163"/>
      <c r="G14" s="163"/>
      <c r="H14" s="163"/>
      <c r="I14" s="163"/>
      <c r="J14" s="163"/>
      <c r="M14" s="157"/>
      <c r="N14" s="157"/>
      <c r="O14" s="158"/>
      <c r="P14" s="159"/>
      <c r="Q14" s="158"/>
      <c r="R14" s="160"/>
    </row>
    <row r="15" ht="42.6" customHeight="1" spans="1:18">
      <c r="A15" s="164"/>
      <c r="B15" s="166" t="s">
        <v>18</v>
      </c>
      <c r="C15" s="163"/>
      <c r="D15" s="163"/>
      <c r="E15" s="163"/>
      <c r="F15" s="163"/>
      <c r="G15" s="163"/>
      <c r="H15" s="163"/>
      <c r="I15" s="163"/>
      <c r="J15" s="163"/>
      <c r="M15" s="157"/>
      <c r="N15" s="157"/>
      <c r="O15" s="158"/>
      <c r="P15" s="159"/>
      <c r="Q15" s="158"/>
      <c r="R15" s="160"/>
    </row>
    <row r="16" ht="42.6" customHeight="1" spans="1:18">
      <c r="A16" s="164"/>
      <c r="B16" s="165" t="s">
        <v>19</v>
      </c>
      <c r="C16" s="163"/>
      <c r="D16" s="163"/>
      <c r="E16" s="163"/>
      <c r="F16" s="163"/>
      <c r="G16" s="163"/>
      <c r="H16" s="163"/>
      <c r="I16" s="163"/>
      <c r="J16" s="163"/>
      <c r="M16" s="157"/>
      <c r="N16" s="157"/>
      <c r="O16" s="158"/>
      <c r="P16" s="159"/>
      <c r="Q16" s="158"/>
      <c r="R16" s="160"/>
    </row>
    <row r="17" ht="42.6" customHeight="1" spans="1:18">
      <c r="A17" s="164"/>
      <c r="B17" s="165" t="s">
        <v>116</v>
      </c>
      <c r="C17" s="163"/>
      <c r="D17" s="163"/>
      <c r="E17" s="163"/>
      <c r="F17" s="163"/>
      <c r="G17" s="163"/>
      <c r="H17" s="163"/>
      <c r="I17" s="163"/>
      <c r="J17" s="163"/>
      <c r="M17" s="167"/>
      <c r="N17" s="157"/>
      <c r="O17" s="168"/>
      <c r="P17" s="169"/>
      <c r="Q17" s="170"/>
      <c r="R17" s="160"/>
    </row>
    <row r="18" ht="42.6" customHeight="1" spans="1:18">
      <c r="A18" s="164"/>
      <c r="B18" s="165" t="s">
        <v>117</v>
      </c>
      <c r="C18" s="163"/>
      <c r="D18" s="163"/>
      <c r="E18" s="163"/>
      <c r="F18" s="163"/>
      <c r="G18" s="163"/>
      <c r="H18" s="163"/>
      <c r="I18" s="163"/>
      <c r="J18" s="163"/>
      <c r="M18" s="167" t="s">
        <v>21</v>
      </c>
      <c r="N18" s="157"/>
      <c r="O18" s="168">
        <v>510</v>
      </c>
      <c r="P18" s="169"/>
      <c r="Q18" s="170">
        <f>O18</f>
        <v>510</v>
      </c>
      <c r="R18" s="171">
        <f>Q18</f>
        <v>510</v>
      </c>
    </row>
    <row r="19" ht="42.6" customHeight="1" spans="1:18">
      <c r="A19" s="164"/>
      <c r="B19" s="165" t="s">
        <v>118</v>
      </c>
      <c r="C19" s="163"/>
      <c r="D19" s="163"/>
      <c r="E19" s="163"/>
      <c r="F19" s="163"/>
      <c r="G19" s="163"/>
      <c r="H19" s="163"/>
      <c r="I19" s="163"/>
      <c r="J19" s="163"/>
      <c r="M19" s="167"/>
      <c r="N19" s="157"/>
      <c r="O19" s="168"/>
      <c r="P19" s="169"/>
      <c r="Q19" s="158"/>
      <c r="R19" s="160"/>
    </row>
    <row r="20" ht="42.6" customHeight="1" spans="1:18">
      <c r="A20" s="164"/>
      <c r="B20" s="165" t="s">
        <v>119</v>
      </c>
      <c r="C20" s="163"/>
      <c r="D20" s="163"/>
      <c r="E20" s="163"/>
      <c r="F20" s="163"/>
      <c r="G20" s="163"/>
      <c r="H20" s="163"/>
      <c r="I20" s="163"/>
      <c r="J20" s="163"/>
      <c r="M20" s="167"/>
      <c r="N20" s="157"/>
      <c r="O20" s="168"/>
      <c r="P20" s="169"/>
      <c r="Q20" s="170"/>
      <c r="R20" s="160"/>
    </row>
    <row r="21" ht="42.6" customHeight="1" spans="1:18">
      <c r="A21" s="164"/>
      <c r="B21" s="165" t="s">
        <v>120</v>
      </c>
      <c r="C21" s="163"/>
      <c r="D21" s="163"/>
      <c r="E21" s="163"/>
      <c r="F21" s="163"/>
      <c r="G21" s="163"/>
      <c r="H21" s="163"/>
      <c r="I21" s="163"/>
      <c r="J21" s="163"/>
      <c r="M21" s="167"/>
      <c r="N21" s="157"/>
      <c r="O21" s="168"/>
      <c r="P21" s="169"/>
      <c r="Q21" s="158"/>
      <c r="R21" s="160"/>
    </row>
    <row r="22" ht="42.6" customHeight="1" spans="1:18">
      <c r="A22" s="164"/>
      <c r="B22" s="166" t="s">
        <v>22</v>
      </c>
      <c r="C22" s="172"/>
      <c r="D22" s="172"/>
      <c r="E22" s="172"/>
      <c r="F22" s="172"/>
      <c r="G22" s="172"/>
      <c r="H22" s="172"/>
      <c r="I22" s="172"/>
      <c r="J22" s="172"/>
      <c r="M22" s="157"/>
      <c r="N22" s="157"/>
      <c r="O22" s="158"/>
      <c r="P22" s="159"/>
      <c r="Q22" s="158"/>
      <c r="R22" s="160"/>
    </row>
    <row r="23" ht="42.6" customHeight="1" spans="1:18">
      <c r="A23" s="164"/>
      <c r="B23" s="165" t="s">
        <v>121</v>
      </c>
      <c r="C23" s="172"/>
      <c r="D23" s="172"/>
      <c r="E23" s="172"/>
      <c r="F23" s="172"/>
      <c r="G23" s="172"/>
      <c r="H23" s="172"/>
      <c r="I23" s="172"/>
      <c r="J23" s="172"/>
      <c r="M23" s="157"/>
      <c r="N23" s="157"/>
      <c r="O23" s="158"/>
      <c r="P23" s="159"/>
      <c r="Q23" s="158"/>
      <c r="R23" s="160"/>
    </row>
    <row r="24" ht="42.6" customHeight="1" spans="1:18">
      <c r="A24" s="164"/>
      <c r="B24" s="165" t="s">
        <v>24</v>
      </c>
      <c r="C24" s="172"/>
      <c r="D24" s="172"/>
      <c r="E24" s="172"/>
      <c r="F24" s="172"/>
      <c r="G24" s="172"/>
      <c r="H24" s="172"/>
      <c r="I24" s="172"/>
      <c r="J24" s="172"/>
      <c r="M24" s="157"/>
      <c r="N24" s="157"/>
      <c r="O24" s="158"/>
      <c r="P24" s="159"/>
      <c r="Q24" s="158"/>
      <c r="R24" s="160"/>
    </row>
    <row r="25" ht="42.6" customHeight="1" spans="1:18">
      <c r="A25" s="164"/>
      <c r="B25" s="173"/>
      <c r="C25" s="172"/>
      <c r="D25" s="172"/>
      <c r="E25" s="172"/>
      <c r="F25" s="172"/>
      <c r="G25" s="172"/>
      <c r="H25" s="172"/>
      <c r="I25" s="172"/>
      <c r="J25" s="172"/>
      <c r="M25" s="157"/>
      <c r="N25" s="157"/>
      <c r="O25" s="158"/>
      <c r="P25" s="159"/>
      <c r="Q25" s="158"/>
      <c r="R25" s="160"/>
    </row>
    <row r="26" ht="42.6" customHeight="1" spans="1:18">
      <c r="A26" s="164" t="s">
        <v>122</v>
      </c>
      <c r="B26" s="161" t="s">
        <v>123</v>
      </c>
      <c r="C26" s="172"/>
      <c r="D26" s="172"/>
      <c r="E26" s="172"/>
      <c r="F26" s="172"/>
      <c r="G26" s="172"/>
      <c r="H26" s="172"/>
      <c r="I26" s="172"/>
      <c r="J26" s="172"/>
      <c r="M26" s="157"/>
      <c r="N26" s="157"/>
      <c r="O26" s="158"/>
      <c r="P26" s="159"/>
      <c r="Q26" s="158"/>
      <c r="R26" s="160"/>
    </row>
    <row r="27" ht="42.6" customHeight="1" spans="1:18">
      <c r="A27" s="164"/>
      <c r="B27" s="173"/>
      <c r="C27" s="172"/>
      <c r="D27" s="172"/>
      <c r="E27" s="172"/>
      <c r="F27" s="172"/>
      <c r="G27" s="172"/>
      <c r="H27" s="172"/>
      <c r="I27" s="172"/>
      <c r="J27" s="172"/>
      <c r="M27" s="157"/>
      <c r="N27" s="157"/>
      <c r="O27" s="158"/>
      <c r="P27" s="159"/>
      <c r="Q27" s="158"/>
      <c r="R27" s="160"/>
    </row>
    <row r="28" ht="42.6" customHeight="1" spans="1:18">
      <c r="A28" s="164"/>
      <c r="B28" s="165" t="s">
        <v>26</v>
      </c>
      <c r="C28" s="172"/>
      <c r="D28" s="172"/>
      <c r="E28" s="172"/>
      <c r="F28" s="172"/>
      <c r="G28" s="172"/>
      <c r="H28" s="172"/>
      <c r="I28" s="172"/>
      <c r="J28" s="172"/>
      <c r="M28" s="157"/>
      <c r="N28" s="157"/>
      <c r="O28" s="158"/>
      <c r="P28" s="159"/>
      <c r="Q28" s="158"/>
      <c r="R28" s="160"/>
    </row>
    <row r="29" ht="42.6" customHeight="1" spans="1:18">
      <c r="A29" s="164"/>
      <c r="B29" s="165" t="s">
        <v>27</v>
      </c>
      <c r="C29" s="172"/>
      <c r="D29" s="172"/>
      <c r="E29" s="172"/>
      <c r="F29" s="172"/>
      <c r="G29" s="172"/>
      <c r="H29" s="172"/>
      <c r="I29" s="172"/>
      <c r="J29" s="172"/>
      <c r="M29" s="157"/>
      <c r="N29" s="157"/>
      <c r="O29" s="158"/>
      <c r="P29" s="159"/>
      <c r="Q29" s="158"/>
      <c r="R29" s="160"/>
    </row>
    <row r="30" ht="42.6" customHeight="1" spans="1:18">
      <c r="A30" s="164"/>
      <c r="B30" s="165" t="s">
        <v>28</v>
      </c>
      <c r="C30" s="172"/>
      <c r="D30" s="172"/>
      <c r="E30" s="172"/>
      <c r="F30" s="172"/>
      <c r="G30" s="172"/>
      <c r="H30" s="172"/>
      <c r="I30" s="172"/>
      <c r="J30" s="172"/>
      <c r="M30" s="157"/>
      <c r="N30" s="157"/>
      <c r="O30" s="158"/>
      <c r="P30" s="159"/>
      <c r="Q30" s="158"/>
      <c r="R30" s="160"/>
    </row>
    <row r="31" ht="42.6" customHeight="1" spans="1:18">
      <c r="A31" s="164"/>
      <c r="B31" s="165" t="s">
        <v>29</v>
      </c>
      <c r="C31" s="172"/>
      <c r="D31" s="172"/>
      <c r="E31" s="172"/>
      <c r="F31" s="172"/>
      <c r="G31" s="172"/>
      <c r="H31" s="172"/>
      <c r="I31" s="172"/>
      <c r="J31" s="172"/>
      <c r="M31" s="157"/>
      <c r="N31" s="157"/>
      <c r="O31" s="158"/>
      <c r="P31" s="159"/>
      <c r="Q31" s="158"/>
      <c r="R31" s="160"/>
    </row>
    <row r="32" ht="42.6" customHeight="1" spans="1:18">
      <c r="A32" s="164"/>
      <c r="B32" s="165" t="s">
        <v>30</v>
      </c>
      <c r="C32" s="172"/>
      <c r="D32" s="172"/>
      <c r="E32" s="172"/>
      <c r="F32" s="172"/>
      <c r="G32" s="172"/>
      <c r="H32" s="172"/>
      <c r="I32" s="172"/>
      <c r="J32" s="172"/>
      <c r="M32" s="157"/>
      <c r="N32" s="157"/>
      <c r="O32" s="158"/>
      <c r="P32" s="159"/>
      <c r="Q32" s="158"/>
      <c r="R32" s="160"/>
    </row>
    <row r="33" ht="42.6" customHeight="1" spans="1:18">
      <c r="A33" s="164"/>
      <c r="B33" s="165" t="s">
        <v>124</v>
      </c>
      <c r="C33" s="172"/>
      <c r="D33" s="172"/>
      <c r="E33" s="172"/>
      <c r="F33" s="172"/>
      <c r="G33" s="172"/>
      <c r="H33" s="172"/>
      <c r="I33" s="172"/>
      <c r="J33" s="172"/>
      <c r="M33" s="167" t="s">
        <v>21</v>
      </c>
      <c r="N33" s="167"/>
      <c r="O33" s="168">
        <v>1275</v>
      </c>
      <c r="P33" s="169"/>
      <c r="Q33" s="170">
        <f>O33</f>
        <v>1275</v>
      </c>
      <c r="R33" s="171">
        <f>Q33</f>
        <v>1275</v>
      </c>
    </row>
    <row r="34" ht="42.6" customHeight="1" spans="1:18">
      <c r="A34" s="164"/>
      <c r="B34" s="173"/>
      <c r="C34" s="172"/>
      <c r="D34" s="172"/>
      <c r="E34" s="172"/>
      <c r="F34" s="172"/>
      <c r="G34" s="172"/>
      <c r="H34" s="172"/>
      <c r="I34" s="172"/>
      <c r="J34" s="172"/>
      <c r="M34" s="157"/>
      <c r="N34" s="157"/>
      <c r="O34" s="158"/>
      <c r="P34" s="159"/>
      <c r="Q34" s="158"/>
      <c r="R34" s="160"/>
    </row>
    <row r="35" ht="42.6" customHeight="1" spans="1:18">
      <c r="A35" s="164"/>
      <c r="B35" s="174"/>
      <c r="C35" s="172"/>
      <c r="D35" s="172"/>
      <c r="E35" s="172"/>
      <c r="F35" s="172"/>
      <c r="G35" s="172"/>
      <c r="H35" s="172"/>
      <c r="I35" s="172"/>
      <c r="J35" s="172"/>
      <c r="M35" s="157"/>
      <c r="N35" s="157"/>
      <c r="O35" s="158"/>
      <c r="P35" s="159"/>
      <c r="Q35" s="158"/>
      <c r="R35" s="160"/>
    </row>
    <row r="36" ht="42.6" customHeight="1" spans="1:18">
      <c r="A36" s="164"/>
      <c r="B36" s="174" t="s">
        <v>33</v>
      </c>
      <c r="C36" s="172"/>
      <c r="D36" s="172"/>
      <c r="E36" s="172"/>
      <c r="F36" s="172"/>
      <c r="G36" s="172"/>
      <c r="H36" s="172"/>
      <c r="I36" s="172"/>
      <c r="J36" s="172"/>
      <c r="M36" s="157"/>
      <c r="N36" s="157"/>
      <c r="O36" s="158"/>
      <c r="P36" s="159"/>
      <c r="Q36" s="158"/>
      <c r="R36" s="160"/>
    </row>
    <row r="37" ht="42.6" customHeight="1" spans="1:18">
      <c r="A37" s="164"/>
      <c r="B37" s="174" t="s">
        <v>125</v>
      </c>
      <c r="C37" s="172"/>
      <c r="D37" s="172"/>
      <c r="E37" s="172"/>
      <c r="F37" s="172"/>
      <c r="G37" s="172"/>
      <c r="H37" s="172"/>
      <c r="I37" s="172"/>
      <c r="J37" s="172"/>
      <c r="M37" s="167" t="s">
        <v>21</v>
      </c>
      <c r="N37" s="157"/>
      <c r="O37" s="168">
        <v>255</v>
      </c>
      <c r="P37" s="169"/>
      <c r="Q37" s="170">
        <f>O37</f>
        <v>255</v>
      </c>
      <c r="R37" s="171">
        <f>Q37</f>
        <v>255</v>
      </c>
    </row>
    <row r="38" ht="42.6" customHeight="1" spans="1:18">
      <c r="A38" s="164"/>
      <c r="B38" s="174"/>
      <c r="C38" s="172"/>
      <c r="D38" s="172"/>
      <c r="E38" s="172"/>
      <c r="F38" s="172"/>
      <c r="G38" s="172"/>
      <c r="H38" s="172"/>
      <c r="I38" s="172"/>
      <c r="J38" s="172"/>
      <c r="M38" s="167"/>
      <c r="N38" s="157"/>
      <c r="O38" s="168"/>
      <c r="P38" s="169"/>
      <c r="Q38" s="170"/>
      <c r="R38" s="160"/>
    </row>
    <row r="39" ht="42.6" customHeight="1" spans="1:18">
      <c r="A39" s="164"/>
      <c r="B39" s="173"/>
      <c r="C39" s="172"/>
      <c r="D39" s="172"/>
      <c r="E39" s="172"/>
      <c r="F39" s="172"/>
      <c r="G39" s="172"/>
      <c r="H39" s="172"/>
      <c r="I39" s="172"/>
      <c r="J39" s="172"/>
      <c r="M39" s="167"/>
      <c r="N39" s="157"/>
      <c r="O39" s="168"/>
      <c r="P39" s="169"/>
      <c r="Q39" s="158"/>
      <c r="R39" s="160"/>
    </row>
    <row r="40" ht="42.6" customHeight="1" spans="1:18">
      <c r="A40" s="175"/>
      <c r="B40" s="173"/>
      <c r="C40" s="172"/>
      <c r="D40" s="172"/>
      <c r="E40" s="172"/>
      <c r="F40" s="172"/>
      <c r="G40" s="172"/>
      <c r="H40" s="172"/>
      <c r="I40" s="172"/>
      <c r="J40" s="172"/>
      <c r="M40" s="157"/>
      <c r="N40" s="157"/>
      <c r="O40" s="158"/>
      <c r="P40" s="159"/>
      <c r="Q40" s="158"/>
      <c r="R40" s="160"/>
    </row>
    <row r="41" ht="42.6" customHeight="1" spans="1:18">
      <c r="A41" s="175"/>
      <c r="B41" s="173"/>
      <c r="C41" s="172"/>
      <c r="D41" s="172"/>
      <c r="E41" s="172"/>
      <c r="F41" s="172"/>
      <c r="G41" s="172"/>
      <c r="H41" s="172"/>
      <c r="I41" s="172"/>
      <c r="J41" s="172"/>
      <c r="M41" s="157"/>
      <c r="N41" s="157"/>
      <c r="O41" s="158"/>
      <c r="P41" s="159"/>
      <c r="Q41" s="158"/>
      <c r="R41" s="160"/>
    </row>
    <row r="42" ht="42.6" customHeight="1" spans="1:18">
      <c r="A42" s="175"/>
      <c r="B42" s="173"/>
      <c r="C42" s="172"/>
      <c r="D42" s="172"/>
      <c r="E42" s="172"/>
      <c r="F42" s="172"/>
      <c r="G42" s="172"/>
      <c r="H42" s="172"/>
      <c r="I42" s="172"/>
      <c r="J42" s="172"/>
      <c r="M42" s="157"/>
      <c r="N42" s="157"/>
      <c r="O42" s="158"/>
      <c r="P42" s="159"/>
      <c r="Q42" s="158"/>
      <c r="R42" s="160"/>
    </row>
    <row r="43" ht="42.6" customHeight="1" spans="1:18">
      <c r="A43" s="175"/>
      <c r="B43" s="173"/>
      <c r="C43" s="172"/>
      <c r="D43" s="172"/>
      <c r="E43" s="172"/>
      <c r="F43" s="172"/>
      <c r="G43" s="172"/>
      <c r="H43" s="172"/>
      <c r="I43" s="172"/>
      <c r="J43" s="172"/>
      <c r="M43" s="157"/>
      <c r="N43" s="157"/>
      <c r="O43" s="158"/>
      <c r="P43" s="159"/>
      <c r="Q43" s="158"/>
      <c r="R43" s="160"/>
    </row>
    <row r="44" ht="42.6" customHeight="1" spans="1:18">
      <c r="A44" s="175"/>
      <c r="B44" s="173"/>
      <c r="C44" s="172"/>
      <c r="D44" s="172"/>
      <c r="E44" s="172"/>
      <c r="F44" s="172"/>
      <c r="G44" s="172"/>
      <c r="H44" s="172"/>
      <c r="I44" s="172"/>
      <c r="J44" s="172"/>
      <c r="M44" s="157"/>
      <c r="N44" s="157"/>
      <c r="O44" s="158"/>
      <c r="P44" s="159"/>
      <c r="Q44" s="158"/>
      <c r="R44" s="160"/>
    </row>
    <row r="45" ht="42.6" customHeight="1" spans="1:18">
      <c r="A45" s="175"/>
      <c r="B45" s="173"/>
      <c r="C45" s="172"/>
      <c r="D45" s="172"/>
      <c r="E45" s="172"/>
      <c r="F45" s="172"/>
      <c r="G45" s="172"/>
      <c r="H45" s="172"/>
      <c r="I45" s="172"/>
      <c r="J45" s="172"/>
      <c r="M45" s="157"/>
      <c r="N45" s="157"/>
      <c r="O45" s="158"/>
      <c r="P45" s="159"/>
      <c r="Q45" s="158"/>
      <c r="R45" s="160"/>
    </row>
    <row r="46" ht="42.6" customHeight="1" spans="1:18">
      <c r="A46" s="175"/>
      <c r="B46" s="173"/>
      <c r="C46" s="172"/>
      <c r="D46" s="172"/>
      <c r="E46" s="172"/>
      <c r="F46" s="172"/>
      <c r="G46" s="172"/>
      <c r="H46" s="172"/>
      <c r="I46" s="172"/>
      <c r="J46" s="172"/>
      <c r="M46" s="157"/>
      <c r="N46" s="157"/>
      <c r="O46" s="158"/>
      <c r="P46" s="159"/>
      <c r="Q46" s="158"/>
      <c r="R46" s="160"/>
    </row>
    <row r="47" ht="42.6" customHeight="1" spans="1:18">
      <c r="A47" s="175"/>
      <c r="B47" s="173"/>
      <c r="C47" s="172"/>
      <c r="D47" s="172"/>
      <c r="E47" s="172"/>
      <c r="F47" s="172"/>
      <c r="G47" s="172"/>
      <c r="H47" s="172"/>
      <c r="I47" s="172"/>
      <c r="J47" s="172"/>
      <c r="M47" s="157"/>
      <c r="N47" s="157"/>
      <c r="O47" s="158"/>
      <c r="P47" s="159"/>
      <c r="Q47" s="158"/>
      <c r="R47" s="160"/>
    </row>
    <row r="48" ht="42.6" customHeight="1" spans="1:18">
      <c r="A48" s="175"/>
      <c r="B48" s="173"/>
      <c r="C48" s="172"/>
      <c r="D48" s="172"/>
      <c r="E48" s="172"/>
      <c r="F48" s="172"/>
      <c r="G48" s="172"/>
      <c r="H48" s="172"/>
      <c r="I48" s="172"/>
      <c r="J48" s="172"/>
      <c r="M48" s="157"/>
      <c r="N48" s="157"/>
      <c r="O48" s="158"/>
      <c r="P48" s="159"/>
      <c r="Q48" s="158"/>
      <c r="R48" s="160"/>
    </row>
    <row r="49" ht="42.6" customHeight="1" spans="1:18">
      <c r="A49" s="175"/>
      <c r="B49" s="173"/>
      <c r="C49" s="172"/>
      <c r="D49" s="172"/>
      <c r="E49" s="172"/>
      <c r="F49" s="172"/>
      <c r="G49" s="172"/>
      <c r="H49" s="172"/>
      <c r="I49" s="172"/>
      <c r="J49" s="172"/>
      <c r="M49" s="157"/>
      <c r="N49" s="157"/>
      <c r="O49" s="158"/>
      <c r="P49" s="159"/>
      <c r="Q49" s="158"/>
      <c r="R49" s="160"/>
    </row>
    <row r="50" ht="42.6" customHeight="1" spans="1:18">
      <c r="A50" s="175"/>
      <c r="B50" s="173"/>
      <c r="C50" s="172"/>
      <c r="D50" s="172"/>
      <c r="E50" s="172"/>
      <c r="F50" s="172"/>
      <c r="G50" s="172"/>
      <c r="H50" s="172"/>
      <c r="I50" s="172"/>
      <c r="J50" s="172"/>
      <c r="M50" s="157"/>
      <c r="N50" s="157"/>
      <c r="O50" s="158"/>
      <c r="P50" s="159"/>
      <c r="Q50" s="158"/>
      <c r="R50" s="160"/>
    </row>
    <row r="51" ht="42.6" customHeight="1" spans="1:18">
      <c r="A51" s="175"/>
      <c r="B51" s="173"/>
      <c r="C51" s="172"/>
      <c r="D51" s="172"/>
      <c r="E51" s="172"/>
      <c r="F51" s="172"/>
      <c r="G51" s="172"/>
      <c r="H51" s="172"/>
      <c r="I51" s="172"/>
      <c r="J51" s="172"/>
      <c r="M51" s="157"/>
      <c r="N51" s="157"/>
      <c r="O51" s="158"/>
      <c r="P51" s="159"/>
      <c r="Q51" s="158"/>
      <c r="R51" s="160"/>
    </row>
    <row r="52" ht="42.6" customHeight="1" spans="1:18">
      <c r="A52" s="175"/>
      <c r="B52" s="173"/>
      <c r="C52" s="172"/>
      <c r="D52" s="172"/>
      <c r="E52" s="172"/>
      <c r="F52" s="172"/>
      <c r="G52" s="172"/>
      <c r="H52" s="172"/>
      <c r="I52" s="172"/>
      <c r="J52" s="172"/>
      <c r="M52" s="157"/>
      <c r="N52" s="157"/>
      <c r="O52" s="158"/>
      <c r="P52" s="159"/>
      <c r="Q52" s="158"/>
      <c r="R52" s="160"/>
    </row>
    <row r="53" ht="42.6" customHeight="1" spans="1:18">
      <c r="A53" s="175"/>
      <c r="B53" s="173"/>
      <c r="C53" s="172"/>
      <c r="D53" s="172"/>
      <c r="E53" s="172"/>
      <c r="F53" s="172"/>
      <c r="G53" s="172"/>
      <c r="H53" s="172"/>
      <c r="I53" s="172"/>
      <c r="J53" s="172"/>
      <c r="M53" s="157"/>
      <c r="N53" s="157"/>
      <c r="O53" s="158"/>
      <c r="P53" s="159"/>
      <c r="Q53" s="158"/>
      <c r="R53" s="160"/>
    </row>
    <row r="54" ht="42.6" customHeight="1" spans="1:18">
      <c r="A54" s="175"/>
      <c r="B54" s="173"/>
      <c r="C54" s="172"/>
      <c r="D54" s="172"/>
      <c r="E54" s="172"/>
      <c r="F54" s="172"/>
      <c r="G54" s="172"/>
      <c r="H54" s="172"/>
      <c r="I54" s="172"/>
      <c r="J54" s="172"/>
      <c r="M54" s="157"/>
      <c r="N54" s="157"/>
      <c r="O54" s="158"/>
      <c r="P54" s="159"/>
      <c r="Q54" s="158"/>
      <c r="R54" s="160"/>
    </row>
    <row r="55" ht="42.6" customHeight="1" spans="1:18">
      <c r="A55" s="175"/>
      <c r="B55" s="173"/>
      <c r="C55" s="172"/>
      <c r="D55" s="172"/>
      <c r="E55" s="172"/>
      <c r="F55" s="172"/>
      <c r="G55" s="172"/>
      <c r="H55" s="172"/>
      <c r="I55" s="172"/>
      <c r="J55" s="172"/>
      <c r="M55" s="157"/>
      <c r="N55" s="157"/>
      <c r="O55" s="158"/>
      <c r="P55" s="159"/>
      <c r="Q55" s="158"/>
      <c r="R55" s="160"/>
    </row>
    <row r="56" ht="42.6" customHeight="1" spans="1:18">
      <c r="A56" s="175"/>
      <c r="B56" s="173"/>
      <c r="C56" s="172"/>
      <c r="D56" s="172"/>
      <c r="E56" s="172"/>
      <c r="F56" s="172"/>
      <c r="G56" s="172"/>
      <c r="H56" s="172"/>
      <c r="I56" s="172"/>
      <c r="J56" s="172"/>
      <c r="M56" s="157"/>
      <c r="N56" s="157"/>
      <c r="O56" s="158"/>
      <c r="P56" s="159"/>
      <c r="Q56" s="158"/>
      <c r="R56" s="160"/>
    </row>
    <row r="57" ht="42.6" customHeight="1" spans="1:18">
      <c r="A57" s="175"/>
      <c r="B57" s="173"/>
      <c r="C57" s="172"/>
      <c r="D57" s="172"/>
      <c r="E57" s="172"/>
      <c r="F57" s="172"/>
      <c r="G57" s="172"/>
      <c r="H57" s="172"/>
      <c r="I57" s="172"/>
      <c r="J57" s="172"/>
      <c r="M57" s="157"/>
      <c r="N57" s="157"/>
      <c r="O57" s="158"/>
      <c r="P57" s="159"/>
      <c r="Q57" s="158"/>
      <c r="R57" s="160"/>
    </row>
    <row r="58" ht="42.6" customHeight="1" spans="1:18">
      <c r="A58" s="175"/>
      <c r="B58" s="173"/>
      <c r="C58" s="172"/>
      <c r="D58" s="172"/>
      <c r="E58" s="172"/>
      <c r="F58" s="172"/>
      <c r="G58" s="172"/>
      <c r="H58" s="172"/>
      <c r="I58" s="172"/>
      <c r="J58" s="172"/>
      <c r="M58" s="157"/>
      <c r="N58" s="157"/>
      <c r="O58" s="158"/>
      <c r="P58" s="159"/>
      <c r="Q58" s="158"/>
      <c r="R58" s="160"/>
    </row>
    <row r="59" ht="42.6" customHeight="1" spans="1:18">
      <c r="A59" s="137" t="s">
        <v>35</v>
      </c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9"/>
      <c r="Q59" s="176">
        <f>SUM(Q8:Q58)</f>
        <v>2040</v>
      </c>
      <c r="R59" s="177">
        <f>SUM(R10:R58)</f>
        <v>2040</v>
      </c>
    </row>
    <row r="60" ht="60" customHeight="1" spans="1:18">
      <c r="A60" s="140" t="s">
        <v>5</v>
      </c>
      <c r="B60" s="141" t="s">
        <v>6</v>
      </c>
      <c r="C60" s="142"/>
      <c r="D60" s="142"/>
      <c r="E60" s="142"/>
      <c r="F60" s="142"/>
      <c r="G60" s="142"/>
      <c r="H60" s="142"/>
      <c r="I60" s="142"/>
      <c r="J60" s="142"/>
      <c r="K60" s="142"/>
      <c r="L60" s="178"/>
      <c r="M60" s="179" t="s">
        <v>7</v>
      </c>
      <c r="N60" s="179" t="s">
        <v>8</v>
      </c>
      <c r="O60" s="180" t="s">
        <v>9</v>
      </c>
      <c r="P60" s="181"/>
      <c r="Q60" s="179" t="s">
        <v>10</v>
      </c>
      <c r="R60" s="182" t="s">
        <v>10</v>
      </c>
    </row>
    <row r="61" ht="42.6" customHeight="1" spans="1:18">
      <c r="A61" s="149"/>
      <c r="B61" s="183" t="s">
        <v>126</v>
      </c>
      <c r="C61" s="184"/>
      <c r="D61" s="184"/>
      <c r="E61" s="184"/>
      <c r="F61" s="184"/>
      <c r="G61" s="184"/>
      <c r="H61" s="184"/>
      <c r="I61" s="184"/>
      <c r="J61" s="184"/>
      <c r="K61" s="185"/>
      <c r="M61" s="151"/>
      <c r="N61" s="151"/>
      <c r="O61" s="152"/>
      <c r="P61" s="153"/>
      <c r="Q61" s="152"/>
      <c r="R61" s="160"/>
    </row>
    <row r="62" ht="42.6" customHeight="1" spans="1:18">
      <c r="A62" s="149"/>
      <c r="B62" s="155" t="s">
        <v>127</v>
      </c>
      <c r="C62" s="156"/>
      <c r="D62" s="156"/>
      <c r="E62" s="156"/>
      <c r="F62" s="156"/>
      <c r="G62" s="156"/>
      <c r="H62" s="156"/>
      <c r="I62" s="156"/>
      <c r="J62" s="156"/>
      <c r="K62" s="156"/>
      <c r="L62" s="186"/>
      <c r="M62" s="157"/>
      <c r="N62" s="157"/>
      <c r="O62" s="158"/>
      <c r="P62" s="159"/>
      <c r="Q62" s="158"/>
      <c r="R62" s="160"/>
    </row>
    <row r="63" ht="42.6" customHeight="1" spans="1:18">
      <c r="A63" s="149"/>
      <c r="B63" s="187"/>
      <c r="M63" s="157"/>
      <c r="N63" s="157"/>
      <c r="O63" s="158"/>
      <c r="P63" s="159"/>
      <c r="Q63" s="158"/>
      <c r="R63" s="160"/>
    </row>
    <row r="64" ht="42.6" customHeight="1" spans="1:18">
      <c r="A64" s="188" t="s">
        <v>112</v>
      </c>
      <c r="B64" s="189" t="s">
        <v>37</v>
      </c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57"/>
      <c r="N64" s="157"/>
      <c r="O64" s="192"/>
      <c r="P64" s="193"/>
      <c r="Q64" s="158"/>
      <c r="R64" s="160"/>
    </row>
    <row r="65" ht="42.6" customHeight="1" spans="1:18">
      <c r="A65" s="164"/>
      <c r="B65" s="194" t="s">
        <v>38</v>
      </c>
      <c r="C65" s="172"/>
      <c r="D65" s="172"/>
      <c r="E65" s="172"/>
      <c r="F65" s="172"/>
      <c r="G65" s="172"/>
      <c r="H65" s="172"/>
      <c r="I65" s="172"/>
      <c r="J65" s="172"/>
      <c r="M65" s="160"/>
      <c r="N65" s="160"/>
      <c r="O65" s="192"/>
      <c r="P65" s="193"/>
      <c r="Q65" s="192"/>
      <c r="R65" s="160"/>
    </row>
    <row r="66" ht="42.6" customHeight="1" spans="1:18">
      <c r="A66" s="164"/>
      <c r="B66" s="194" t="s">
        <v>39</v>
      </c>
      <c r="C66" s="172"/>
      <c r="D66" s="172"/>
      <c r="E66" s="172"/>
      <c r="F66" s="172"/>
      <c r="G66" s="172"/>
      <c r="H66" s="172"/>
      <c r="I66" s="172"/>
      <c r="J66" s="172"/>
      <c r="M66" s="160"/>
      <c r="N66" s="160"/>
      <c r="O66" s="192"/>
      <c r="P66" s="193"/>
      <c r="Q66" s="192"/>
      <c r="R66" s="160"/>
    </row>
    <row r="67" ht="42.6" customHeight="1" spans="1:18">
      <c r="A67" s="164"/>
      <c r="B67" s="195" t="s">
        <v>128</v>
      </c>
      <c r="C67" s="127"/>
      <c r="D67" s="127"/>
      <c r="E67" s="127"/>
      <c r="F67" s="127"/>
      <c r="G67" s="196"/>
      <c r="H67" s="197"/>
      <c r="I67" s="197"/>
      <c r="J67" s="198"/>
      <c r="M67" s="160"/>
      <c r="N67" s="160"/>
      <c r="O67" s="168"/>
      <c r="P67" s="169"/>
      <c r="Q67" s="168"/>
      <c r="R67" s="160"/>
    </row>
    <row r="68" ht="42.6" customHeight="1" spans="1:18">
      <c r="A68" s="164"/>
      <c r="B68" s="127">
        <v>4</v>
      </c>
      <c r="C68" s="127" t="s">
        <v>129</v>
      </c>
      <c r="D68" s="127" t="s">
        <v>130</v>
      </c>
      <c r="E68" s="127">
        <v>2</v>
      </c>
      <c r="F68" s="127" t="s">
        <v>131</v>
      </c>
      <c r="G68" s="196"/>
      <c r="H68" s="197" t="s">
        <v>130</v>
      </c>
      <c r="I68" s="199">
        <v>1.8</v>
      </c>
      <c r="J68" s="200" t="s">
        <v>132</v>
      </c>
      <c r="M68" s="160" t="s">
        <v>133</v>
      </c>
      <c r="N68" s="171">
        <f t="shared" ref="N68:N69" si="0">B68*E68*I68</f>
        <v>14.4</v>
      </c>
      <c r="O68" s="168">
        <v>53.4</v>
      </c>
      <c r="P68" s="169"/>
      <c r="Q68" s="168">
        <f>N68*O68</f>
        <v>768.96</v>
      </c>
      <c r="R68" s="160"/>
    </row>
    <row r="69" s="120" customFormat="1" ht="42.6" customHeight="1" spans="1:18">
      <c r="A69" s="201"/>
      <c r="B69" s="121">
        <v>5</v>
      </c>
      <c r="C69" s="121" t="s">
        <v>129</v>
      </c>
      <c r="D69" s="121" t="s">
        <v>130</v>
      </c>
      <c r="E69" s="121">
        <v>2</v>
      </c>
      <c r="F69" s="121" t="s">
        <v>131</v>
      </c>
      <c r="G69" s="202"/>
      <c r="H69" s="203" t="s">
        <v>130</v>
      </c>
      <c r="I69" s="204">
        <v>1.8</v>
      </c>
      <c r="J69" s="205" t="s">
        <v>132</v>
      </c>
      <c r="K69" s="206"/>
      <c r="L69" s="206"/>
      <c r="M69" s="207" t="s">
        <v>133</v>
      </c>
      <c r="N69" s="208">
        <f t="shared" si="0"/>
        <v>18</v>
      </c>
      <c r="O69" s="209">
        <v>53.4</v>
      </c>
      <c r="P69" s="210"/>
      <c r="R69" s="209">
        <f>N69*O69</f>
        <v>961.2</v>
      </c>
    </row>
    <row r="70" ht="42.6" customHeight="1" spans="1:18">
      <c r="A70" s="164"/>
      <c r="B70" s="211"/>
      <c r="C70" s="172"/>
      <c r="D70" s="172"/>
      <c r="E70" s="172"/>
      <c r="F70" s="172"/>
      <c r="G70" s="172"/>
      <c r="H70" s="172"/>
      <c r="I70" s="172"/>
      <c r="J70" s="172"/>
      <c r="M70" s="160"/>
      <c r="N70" s="160"/>
      <c r="O70" s="192"/>
      <c r="P70" s="193"/>
      <c r="Q70" s="192"/>
      <c r="R70" s="160"/>
    </row>
    <row r="71" ht="42.6" customHeight="1" spans="1:18">
      <c r="A71" s="164" t="s">
        <v>122</v>
      </c>
      <c r="B71" s="212" t="s">
        <v>134</v>
      </c>
      <c r="C71" s="172"/>
      <c r="D71" s="172"/>
      <c r="E71" s="172"/>
      <c r="F71" s="172"/>
      <c r="G71" s="172"/>
      <c r="H71" s="172"/>
      <c r="I71" s="172"/>
      <c r="J71" s="172"/>
      <c r="M71" s="160"/>
      <c r="N71" s="160"/>
      <c r="O71" s="192"/>
      <c r="P71" s="193"/>
      <c r="Q71" s="192"/>
      <c r="R71" s="160"/>
    </row>
    <row r="72" ht="42.6" customHeight="1" spans="1:18">
      <c r="A72" s="164"/>
      <c r="B72" s="213" t="s">
        <v>135</v>
      </c>
      <c r="D72" s="172"/>
      <c r="E72" s="172"/>
      <c r="F72" s="172"/>
      <c r="G72" s="172"/>
      <c r="H72" s="172"/>
      <c r="I72" s="172"/>
      <c r="J72" s="172"/>
      <c r="M72" s="160"/>
      <c r="N72" s="160"/>
      <c r="O72" s="192"/>
      <c r="P72" s="193"/>
      <c r="Q72" s="168"/>
      <c r="R72" s="160"/>
    </row>
    <row r="73" ht="42.6" customHeight="1" spans="1:18">
      <c r="A73" s="164"/>
      <c r="B73" s="213" t="s">
        <v>136</v>
      </c>
      <c r="D73" s="172"/>
      <c r="E73" s="172"/>
      <c r="F73" s="172"/>
      <c r="G73" s="172"/>
      <c r="H73" s="172"/>
      <c r="I73" s="172"/>
      <c r="J73" s="172"/>
      <c r="M73" s="160"/>
      <c r="N73" s="160"/>
      <c r="O73" s="192"/>
      <c r="P73" s="193"/>
      <c r="Q73" s="192"/>
      <c r="R73" s="160"/>
    </row>
    <row r="74" ht="42.6" customHeight="1" spans="1:18">
      <c r="A74" s="164"/>
      <c r="B74" s="214" t="s">
        <v>137</v>
      </c>
      <c r="C74" s="127"/>
      <c r="D74" s="127"/>
      <c r="E74" s="127"/>
      <c r="F74" s="127"/>
      <c r="G74" s="196"/>
      <c r="H74" s="172"/>
      <c r="I74" s="172"/>
      <c r="J74" s="172"/>
      <c r="M74" s="160" t="s">
        <v>138</v>
      </c>
      <c r="N74" s="160">
        <v>4</v>
      </c>
      <c r="O74" s="168">
        <v>791.9</v>
      </c>
      <c r="P74" s="169"/>
      <c r="Q74" s="168">
        <f>N74*O74</f>
        <v>3167.6</v>
      </c>
      <c r="R74" s="160"/>
    </row>
    <row r="75" ht="42.6" customHeight="1" spans="1:18">
      <c r="A75" s="164"/>
      <c r="B75" s="174"/>
      <c r="C75" s="172"/>
      <c r="D75" s="172"/>
      <c r="E75" s="172"/>
      <c r="F75" s="172"/>
      <c r="G75" s="172"/>
      <c r="H75" s="172"/>
      <c r="I75" s="172"/>
      <c r="J75" s="172"/>
      <c r="M75" s="207" t="s">
        <v>138</v>
      </c>
      <c r="N75" s="207">
        <v>5</v>
      </c>
      <c r="O75" s="209">
        <v>791.9</v>
      </c>
      <c r="P75" s="210"/>
      <c r="Q75" s="120"/>
      <c r="R75" s="209">
        <f>N75*O75</f>
        <v>3959.5</v>
      </c>
    </row>
    <row r="76" ht="42.6" customHeight="1" spans="1:18">
      <c r="A76" s="164" t="s">
        <v>139</v>
      </c>
      <c r="B76" s="215" t="s">
        <v>140</v>
      </c>
      <c r="C76" s="172"/>
      <c r="D76" s="172"/>
      <c r="E76" s="172"/>
      <c r="F76" s="172"/>
      <c r="G76" s="172"/>
      <c r="H76" s="172"/>
      <c r="I76" s="172"/>
      <c r="J76" s="172"/>
      <c r="M76" s="167"/>
      <c r="N76" s="160"/>
      <c r="O76" s="168"/>
      <c r="P76" s="169"/>
      <c r="Q76" s="192"/>
      <c r="R76" s="160"/>
    </row>
    <row r="77" ht="42.6" customHeight="1" spans="1:18">
      <c r="A77" s="175"/>
      <c r="B77" s="216" t="s">
        <v>141</v>
      </c>
      <c r="C77" s="217"/>
      <c r="D77" s="217"/>
      <c r="E77" s="217"/>
      <c r="F77" s="217"/>
      <c r="G77" s="217"/>
      <c r="H77" s="217"/>
      <c r="I77" s="217"/>
      <c r="J77" s="217"/>
      <c r="K77" s="217"/>
      <c r="L77" s="218"/>
      <c r="M77" s="160"/>
      <c r="N77" s="160"/>
      <c r="O77" s="192"/>
      <c r="P77" s="193"/>
      <c r="Q77" s="168"/>
      <c r="R77" s="160"/>
    </row>
    <row r="78" ht="42.6" customHeight="1" spans="1:18">
      <c r="A78" s="175"/>
      <c r="B78" s="213" t="s">
        <v>142</v>
      </c>
      <c r="C78" s="127"/>
      <c r="D78" s="127"/>
      <c r="E78" s="127"/>
      <c r="F78" s="127"/>
      <c r="G78" s="196"/>
      <c r="H78" s="127"/>
      <c r="I78" s="196"/>
      <c r="J78" s="196"/>
      <c r="M78" s="160"/>
      <c r="N78" s="160"/>
      <c r="O78" s="192"/>
      <c r="P78" s="193"/>
      <c r="Q78" s="168"/>
      <c r="R78" s="160"/>
    </row>
    <row r="79" ht="42.6" customHeight="1" spans="1:18">
      <c r="A79" s="164"/>
      <c r="B79" s="213" t="s">
        <v>143</v>
      </c>
      <c r="C79" s="127"/>
      <c r="D79" s="127"/>
      <c r="E79" s="219"/>
      <c r="F79" s="127"/>
      <c r="G79" s="220"/>
      <c r="H79" s="127"/>
      <c r="I79" s="196"/>
      <c r="J79" s="163"/>
      <c r="M79" s="160"/>
      <c r="N79" s="221"/>
      <c r="O79" s="168"/>
      <c r="P79" s="169"/>
      <c r="Q79" s="170"/>
      <c r="R79" s="160"/>
    </row>
    <row r="80" ht="42.6" customHeight="1" spans="1:18">
      <c r="A80" s="188"/>
      <c r="B80" s="213" t="s">
        <v>144</v>
      </c>
      <c r="M80" s="160"/>
      <c r="N80" s="160"/>
      <c r="O80" s="192"/>
      <c r="P80" s="193"/>
      <c r="Q80" s="192"/>
      <c r="R80" s="160"/>
    </row>
    <row r="81" ht="42.6" customHeight="1" spans="1:18">
      <c r="A81" s="188"/>
      <c r="B81" s="214" t="s">
        <v>145</v>
      </c>
      <c r="C81" s="222"/>
      <c r="D81" s="222"/>
      <c r="E81" s="222"/>
      <c r="F81" s="222"/>
      <c r="G81" s="222"/>
      <c r="H81" s="222"/>
      <c r="I81" s="222"/>
      <c r="J81" s="222"/>
      <c r="M81" s="160" t="s">
        <v>89</v>
      </c>
      <c r="N81" s="160">
        <v>2</v>
      </c>
      <c r="O81" s="223">
        <v>822.8</v>
      </c>
      <c r="P81" s="224"/>
      <c r="Q81" s="168">
        <f>N81*O81</f>
        <v>1645.6</v>
      </c>
      <c r="R81" s="171">
        <f>Q81</f>
        <v>1645.6</v>
      </c>
    </row>
    <row r="82" ht="42.6" customHeight="1" spans="1:18">
      <c r="A82" s="188"/>
      <c r="C82" s="222"/>
      <c r="D82" s="222"/>
      <c r="E82" s="222"/>
      <c r="F82" s="222"/>
      <c r="G82" s="222"/>
      <c r="H82" s="222"/>
      <c r="I82" s="222"/>
      <c r="J82" s="222"/>
      <c r="K82" s="225"/>
      <c r="M82" s="160"/>
      <c r="N82" s="124"/>
      <c r="O82" s="223"/>
      <c r="P82" s="224"/>
      <c r="R82" s="160"/>
    </row>
    <row r="83" ht="42.6" customHeight="1" spans="1:18">
      <c r="A83" s="188" t="s">
        <v>146</v>
      </c>
      <c r="B83" s="190" t="s">
        <v>75</v>
      </c>
      <c r="C83" s="222"/>
      <c r="D83" s="222"/>
      <c r="E83" s="222"/>
      <c r="F83" s="222"/>
      <c r="G83" s="222"/>
      <c r="H83" s="222"/>
      <c r="I83" s="222"/>
      <c r="J83" s="222"/>
      <c r="M83" s="160"/>
      <c r="N83" s="160"/>
      <c r="O83" s="192"/>
      <c r="P83" s="193"/>
      <c r="Q83" s="192"/>
      <c r="R83" s="160"/>
    </row>
    <row r="84" ht="42.6" customHeight="1" spans="1:18">
      <c r="A84" s="188"/>
      <c r="B84" s="213" t="s">
        <v>76</v>
      </c>
      <c r="M84" s="157"/>
      <c r="N84" s="160"/>
      <c r="O84" s="192"/>
      <c r="P84" s="193"/>
      <c r="Q84" s="192"/>
      <c r="R84" s="160"/>
    </row>
    <row r="85" ht="42.6" customHeight="1" spans="1:18">
      <c r="A85" s="164"/>
      <c r="B85" s="213" t="s">
        <v>77</v>
      </c>
      <c r="C85" s="127"/>
      <c r="D85" s="127"/>
      <c r="E85" s="219"/>
      <c r="F85" s="127"/>
      <c r="G85" s="220"/>
      <c r="J85" s="163"/>
      <c r="M85" s="160"/>
      <c r="N85" s="221"/>
      <c r="O85" s="168"/>
      <c r="P85" s="169"/>
      <c r="Q85" s="170"/>
      <c r="R85" s="160"/>
    </row>
    <row r="86" ht="42.6" customHeight="1" spans="1:18">
      <c r="A86" s="188"/>
      <c r="B86" s="124" t="s">
        <v>147</v>
      </c>
      <c r="C86" s="127"/>
      <c r="D86" s="127"/>
      <c r="E86" s="127"/>
      <c r="F86" s="127"/>
      <c r="G86" s="196"/>
      <c r="J86" s="198"/>
      <c r="M86" s="160" t="s">
        <v>133</v>
      </c>
      <c r="N86" s="160">
        <f>4*1*0.9</f>
        <v>3.6</v>
      </c>
      <c r="O86" s="168">
        <v>384.7</v>
      </c>
      <c r="P86" s="169"/>
      <c r="Q86" s="168">
        <f>N86*O86</f>
        <v>1384.92</v>
      </c>
      <c r="R86" s="226" t="s">
        <v>148</v>
      </c>
    </row>
    <row r="87" ht="42.6" customHeight="1" spans="1:18">
      <c r="A87" s="188"/>
      <c r="B87" s="127"/>
      <c r="C87" s="127"/>
      <c r="D87" s="127"/>
      <c r="E87" s="127"/>
      <c r="F87" s="127"/>
      <c r="G87" s="196"/>
      <c r="H87" s="227"/>
      <c r="I87" s="227"/>
      <c r="J87" s="198"/>
      <c r="M87" s="160"/>
      <c r="N87" s="160"/>
      <c r="O87" s="192"/>
      <c r="P87" s="193"/>
      <c r="Q87" s="168"/>
      <c r="R87" s="228"/>
    </row>
    <row r="88" ht="42.6" customHeight="1" spans="1:18">
      <c r="A88" s="188" t="s">
        <v>149</v>
      </c>
      <c r="B88" s="229" t="s">
        <v>56</v>
      </c>
      <c r="C88" s="127"/>
      <c r="D88" s="127"/>
      <c r="E88" s="127"/>
      <c r="F88" s="127"/>
      <c r="G88" s="196"/>
      <c r="H88" s="227"/>
      <c r="I88" s="227"/>
      <c r="J88" s="198"/>
      <c r="M88" s="160"/>
      <c r="N88" s="160"/>
      <c r="O88" s="192"/>
      <c r="P88" s="193"/>
      <c r="Q88" s="168"/>
      <c r="R88" s="228"/>
    </row>
    <row r="89" ht="42.6" customHeight="1" spans="1:18">
      <c r="A89" s="188"/>
      <c r="B89" s="213" t="s">
        <v>57</v>
      </c>
      <c r="C89" s="127"/>
      <c r="D89" s="127"/>
      <c r="E89" s="127"/>
      <c r="F89" s="127"/>
      <c r="G89" s="196"/>
      <c r="H89" s="227"/>
      <c r="I89" s="227"/>
      <c r="J89" s="198"/>
      <c r="M89" s="160"/>
      <c r="N89" s="160"/>
      <c r="O89" s="192"/>
      <c r="P89" s="193"/>
      <c r="Q89" s="168"/>
      <c r="R89" s="228"/>
    </row>
    <row r="90" ht="42.6" customHeight="1" spans="1:18">
      <c r="A90" s="188"/>
      <c r="B90" s="213" t="s">
        <v>150</v>
      </c>
      <c r="C90" s="127"/>
      <c r="D90" s="127"/>
      <c r="E90" s="127"/>
      <c r="F90" s="127"/>
      <c r="G90" s="196"/>
      <c r="H90" s="227"/>
      <c r="I90" s="227"/>
      <c r="J90" s="198"/>
      <c r="M90" s="160"/>
      <c r="N90" s="160"/>
      <c r="O90" s="192"/>
      <c r="P90" s="193"/>
      <c r="Q90" s="168"/>
      <c r="R90" s="228"/>
    </row>
    <row r="91" ht="42.6" customHeight="1" spans="1:18">
      <c r="A91" s="188"/>
      <c r="B91" s="213" t="s">
        <v>81</v>
      </c>
      <c r="C91" s="127"/>
      <c r="D91" s="127"/>
      <c r="E91" s="127"/>
      <c r="F91" s="127"/>
      <c r="G91" s="196"/>
      <c r="H91" s="227"/>
      <c r="I91" s="227"/>
      <c r="J91" s="198"/>
      <c r="M91" s="160" t="s">
        <v>151</v>
      </c>
      <c r="N91" s="160">
        <f>4*1.5</f>
        <v>6</v>
      </c>
      <c r="O91" s="192">
        <v>68.11</v>
      </c>
      <c r="P91" s="193"/>
      <c r="Q91" s="168">
        <f>N91*O91</f>
        <v>408.66</v>
      </c>
      <c r="R91" s="228" t="s">
        <v>148</v>
      </c>
    </row>
    <row r="92" ht="42.6" customHeight="1" spans="1:18">
      <c r="A92" s="188"/>
      <c r="B92" s="127"/>
      <c r="C92" s="127"/>
      <c r="D92" s="127"/>
      <c r="E92" s="127"/>
      <c r="F92" s="127"/>
      <c r="G92" s="196"/>
      <c r="H92" s="227"/>
      <c r="I92" s="227"/>
      <c r="J92" s="198"/>
      <c r="M92" s="160"/>
      <c r="N92" s="160"/>
      <c r="O92" s="192"/>
      <c r="P92" s="193"/>
      <c r="Q92" s="168"/>
      <c r="R92" s="228"/>
    </row>
    <row r="93" ht="42.6" customHeight="1" spans="1:18">
      <c r="A93" s="188" t="s">
        <v>152</v>
      </c>
      <c r="B93" s="230" t="s">
        <v>51</v>
      </c>
      <c r="C93" s="127"/>
      <c r="D93" s="127"/>
      <c r="E93" s="127"/>
      <c r="F93" s="127"/>
      <c r="G93" s="196"/>
      <c r="H93" s="227"/>
      <c r="I93" s="227"/>
      <c r="J93" s="198"/>
      <c r="M93" s="160"/>
      <c r="N93" s="160"/>
      <c r="O93" s="192"/>
      <c r="P93" s="193"/>
      <c r="Q93" s="168"/>
      <c r="R93" s="228"/>
    </row>
    <row r="94" ht="42.6" customHeight="1" spans="1:18">
      <c r="A94" s="188"/>
      <c r="B94" s="231" t="s">
        <v>82</v>
      </c>
      <c r="C94" s="127"/>
      <c r="D94" s="127"/>
      <c r="E94" s="127"/>
      <c r="F94" s="127"/>
      <c r="G94" s="196"/>
      <c r="H94" s="227"/>
      <c r="I94" s="227"/>
      <c r="J94" s="198"/>
      <c r="M94" s="160"/>
      <c r="N94" s="160"/>
      <c r="O94" s="192"/>
      <c r="P94" s="193"/>
      <c r="Q94" s="168"/>
      <c r="R94" s="228"/>
    </row>
    <row r="95" ht="42.6" customHeight="1" spans="1:18">
      <c r="A95" s="188"/>
      <c r="B95" s="214" t="s">
        <v>153</v>
      </c>
      <c r="C95" s="127"/>
      <c r="D95" s="127"/>
      <c r="E95" s="127"/>
      <c r="F95" s="127"/>
      <c r="G95" s="196"/>
      <c r="H95" s="227"/>
      <c r="I95" s="227"/>
      <c r="J95" s="198"/>
      <c r="M95" s="160"/>
      <c r="N95" s="160"/>
      <c r="O95" s="192"/>
      <c r="P95" s="193"/>
      <c r="Q95" s="168"/>
      <c r="R95" s="228"/>
    </row>
    <row r="96" ht="42.6" customHeight="1" spans="1:18">
      <c r="A96" s="188"/>
      <c r="B96" s="232" t="s">
        <v>84</v>
      </c>
      <c r="C96" s="127"/>
      <c r="D96" s="127"/>
      <c r="E96" s="127"/>
      <c r="F96" s="127"/>
      <c r="G96" s="196"/>
      <c r="H96" s="227"/>
      <c r="I96" s="227"/>
      <c r="J96" s="198"/>
      <c r="M96" s="160" t="s">
        <v>151</v>
      </c>
      <c r="N96" s="160">
        <f>4*1.5</f>
        <v>6</v>
      </c>
      <c r="O96" s="192">
        <v>101.8</v>
      </c>
      <c r="P96" s="193"/>
      <c r="Q96" s="168">
        <f>N96*O96</f>
        <v>610.8</v>
      </c>
      <c r="R96" s="228" t="s">
        <v>148</v>
      </c>
    </row>
    <row r="97" ht="42.6" customHeight="1" spans="1:21">
      <c r="A97" s="188"/>
      <c r="B97" s="127"/>
      <c r="C97" s="127"/>
      <c r="D97" s="127"/>
      <c r="E97" s="127"/>
      <c r="F97" s="127"/>
      <c r="G97" s="196"/>
      <c r="H97" s="227"/>
      <c r="I97" s="227"/>
      <c r="J97" s="198"/>
      <c r="M97" s="160"/>
      <c r="N97" s="160"/>
      <c r="O97" s="192"/>
      <c r="P97" s="193"/>
      <c r="Q97" s="168"/>
      <c r="R97" s="228"/>
    </row>
    <row r="98" ht="42.6" customHeight="1" spans="1:21">
      <c r="A98" s="188" t="s">
        <v>154</v>
      </c>
      <c r="B98" s="233" t="s">
        <v>61</v>
      </c>
      <c r="C98" s="127"/>
      <c r="D98" s="127"/>
      <c r="E98" s="127"/>
      <c r="F98" s="127"/>
      <c r="G98" s="196"/>
      <c r="H98" s="227"/>
      <c r="I98" s="227"/>
      <c r="J98" s="198"/>
      <c r="M98" s="160"/>
      <c r="N98" s="160"/>
      <c r="O98" s="192"/>
      <c r="P98" s="193"/>
      <c r="Q98" s="168"/>
      <c r="R98" s="228"/>
    </row>
    <row r="99" ht="42.6" customHeight="1" spans="1:21">
      <c r="A99" s="188"/>
      <c r="B99" s="214" t="s">
        <v>155</v>
      </c>
      <c r="C99" s="127"/>
      <c r="D99" s="127"/>
      <c r="E99" s="127"/>
      <c r="F99" s="127"/>
      <c r="G99" s="196"/>
      <c r="H99" s="227"/>
      <c r="I99" s="227"/>
      <c r="J99" s="198"/>
      <c r="M99" s="160"/>
      <c r="N99" s="160"/>
      <c r="O99" s="192"/>
      <c r="P99" s="193"/>
      <c r="Q99" s="168"/>
      <c r="R99" s="228"/>
    </row>
    <row r="100" ht="42.6" customHeight="1" spans="1:21">
      <c r="A100" s="188"/>
      <c r="B100" s="214" t="s">
        <v>63</v>
      </c>
      <c r="C100" s="127"/>
      <c r="D100" s="127"/>
      <c r="E100" s="127"/>
      <c r="F100" s="127"/>
      <c r="G100" s="196"/>
      <c r="H100" s="227"/>
      <c r="I100" s="227"/>
      <c r="J100" s="198"/>
      <c r="M100" s="160"/>
      <c r="N100" s="160"/>
      <c r="O100" s="192"/>
      <c r="P100" s="193"/>
      <c r="Q100" s="168"/>
      <c r="R100" s="228"/>
    </row>
    <row r="101" ht="42.6" customHeight="1" spans="1:21">
      <c r="A101" s="188"/>
      <c r="B101" s="395" t="s">
        <v>156</v>
      </c>
      <c r="C101" s="127"/>
      <c r="D101" s="127"/>
      <c r="E101" s="127"/>
      <c r="F101" s="127"/>
      <c r="G101" s="196"/>
      <c r="H101" s="227"/>
      <c r="I101" s="227"/>
      <c r="J101" s="198"/>
      <c r="M101" s="160"/>
      <c r="N101" s="160"/>
      <c r="O101" s="192"/>
      <c r="P101" s="193"/>
      <c r="Q101" s="168"/>
      <c r="R101" s="228"/>
    </row>
    <row r="102" ht="42.6" customHeight="1" spans="1:21">
      <c r="A102" s="188"/>
      <c r="B102" s="214" t="s">
        <v>157</v>
      </c>
      <c r="C102" s="127"/>
      <c r="D102" s="127"/>
      <c r="E102" s="127"/>
      <c r="F102" s="127"/>
      <c r="G102" s="196"/>
      <c r="H102" s="227"/>
      <c r="I102" s="227"/>
      <c r="J102" s="198"/>
      <c r="M102" s="160" t="s">
        <v>151</v>
      </c>
      <c r="N102" s="160">
        <f>4*1.5</f>
        <v>6</v>
      </c>
      <c r="O102" s="192">
        <v>91.91</v>
      </c>
      <c r="P102" s="193"/>
      <c r="Q102" s="168">
        <f>N102*O102</f>
        <v>551.46</v>
      </c>
      <c r="R102" s="228" t="s">
        <v>148</v>
      </c>
      <c r="U102" s="234"/>
    </row>
    <row r="103" ht="42.6" customHeight="1" spans="1:21">
      <c r="A103" s="188"/>
      <c r="B103" s="127"/>
      <c r="C103" s="127"/>
      <c r="D103" s="127"/>
      <c r="E103" s="127"/>
      <c r="F103" s="127"/>
      <c r="G103" s="196"/>
      <c r="H103" s="227"/>
      <c r="I103" s="227"/>
      <c r="J103" s="198"/>
      <c r="M103" s="160"/>
      <c r="N103" s="160"/>
      <c r="O103" s="192"/>
      <c r="P103" s="193"/>
      <c r="Q103" s="168"/>
      <c r="R103" s="160"/>
    </row>
    <row r="104" ht="42.6" customHeight="1" spans="1:21">
      <c r="A104" s="188"/>
      <c r="B104" s="127"/>
      <c r="C104" s="127"/>
      <c r="D104" s="127"/>
      <c r="E104" s="127"/>
      <c r="F104" s="127"/>
      <c r="G104" s="196"/>
      <c r="H104" s="227"/>
      <c r="I104" s="227"/>
      <c r="J104" s="198"/>
      <c r="M104" s="160"/>
      <c r="N104" s="160"/>
      <c r="O104" s="192"/>
      <c r="P104" s="193"/>
      <c r="Q104" s="168"/>
      <c r="R104" s="160"/>
    </row>
    <row r="105" ht="42.6" customHeight="1" spans="1:21">
      <c r="A105" s="188" t="s">
        <v>158</v>
      </c>
      <c r="B105" s="161" t="s">
        <v>159</v>
      </c>
      <c r="C105" s="127"/>
      <c r="D105" s="127"/>
      <c r="E105" s="127"/>
      <c r="F105" s="127"/>
      <c r="G105" s="196"/>
      <c r="H105" s="227"/>
      <c r="I105" s="227"/>
      <c r="J105" s="198"/>
      <c r="M105" s="160"/>
      <c r="N105" s="160"/>
      <c r="O105" s="192"/>
      <c r="P105" s="193"/>
      <c r="Q105" s="168"/>
      <c r="R105" s="160"/>
    </row>
    <row r="106" ht="42.6" customHeight="1" spans="1:21">
      <c r="A106" s="188"/>
      <c r="B106" s="235" t="s">
        <v>160</v>
      </c>
      <c r="C106" s="127"/>
      <c r="D106" s="127"/>
      <c r="E106" s="127"/>
      <c r="F106" s="127"/>
      <c r="G106" s="196"/>
      <c r="H106" s="227"/>
      <c r="I106" s="227"/>
      <c r="J106" s="198"/>
      <c r="M106" s="160"/>
      <c r="N106" s="160"/>
      <c r="O106" s="192"/>
      <c r="P106" s="193"/>
      <c r="Q106" s="168"/>
      <c r="R106" s="160"/>
    </row>
    <row r="107" ht="42.6" customHeight="1" spans="1:21">
      <c r="A107" s="188"/>
      <c r="B107" s="235" t="s">
        <v>161</v>
      </c>
      <c r="C107" s="127"/>
      <c r="D107" s="127"/>
      <c r="E107" s="127"/>
      <c r="F107" s="127"/>
      <c r="G107" s="196"/>
      <c r="H107" s="227"/>
      <c r="I107" s="227"/>
      <c r="J107" s="198"/>
      <c r="M107" s="160"/>
      <c r="N107" s="160"/>
      <c r="O107" s="192"/>
      <c r="P107" s="193"/>
      <c r="Q107" s="168"/>
      <c r="R107" s="160"/>
    </row>
    <row r="108" ht="42.6" customHeight="1" spans="1:21">
      <c r="A108" s="188"/>
      <c r="B108" s="235" t="s">
        <v>162</v>
      </c>
      <c r="C108" s="127"/>
      <c r="D108" s="127"/>
      <c r="E108" s="127"/>
      <c r="F108" s="127"/>
      <c r="G108" s="196"/>
      <c r="H108" s="227"/>
      <c r="I108" s="227"/>
      <c r="J108" s="198"/>
      <c r="M108" s="207" t="s">
        <v>151</v>
      </c>
      <c r="N108" s="207">
        <f>10*4</f>
        <v>40</v>
      </c>
      <c r="O108" s="236">
        <v>46.9</v>
      </c>
      <c r="P108" s="237"/>
      <c r="Q108" s="120"/>
      <c r="R108" s="209">
        <f>N108*O108</f>
        <v>1876</v>
      </c>
    </row>
    <row r="109" ht="42.6" customHeight="1" spans="1:21">
      <c r="A109" s="188"/>
      <c r="B109" s="127"/>
      <c r="C109" s="127"/>
      <c r="D109" s="127"/>
      <c r="E109" s="127"/>
      <c r="F109" s="127"/>
      <c r="G109" s="196"/>
      <c r="H109" s="227"/>
      <c r="I109" s="227"/>
      <c r="J109" s="198"/>
      <c r="M109" s="160"/>
      <c r="N109" s="160"/>
      <c r="O109" s="192"/>
      <c r="P109" s="193"/>
      <c r="Q109" s="168"/>
      <c r="R109" s="160"/>
    </row>
    <row r="110" ht="42.6" customHeight="1" spans="1:21">
      <c r="A110" s="188"/>
      <c r="B110" s="127"/>
      <c r="C110" s="127"/>
      <c r="D110" s="127"/>
      <c r="E110" s="127"/>
      <c r="F110" s="127"/>
      <c r="G110" s="196"/>
      <c r="H110" s="227"/>
      <c r="I110" s="227"/>
      <c r="J110" s="198"/>
      <c r="M110" s="160"/>
      <c r="N110" s="160"/>
      <c r="O110" s="192"/>
      <c r="P110" s="193"/>
      <c r="Q110" s="168"/>
      <c r="R110" s="160"/>
    </row>
    <row r="111" ht="42.6" customHeight="1" spans="1:21">
      <c r="A111" s="188"/>
      <c r="B111" s="127"/>
      <c r="C111" s="127"/>
      <c r="D111" s="127"/>
      <c r="E111" s="127"/>
      <c r="F111" s="127"/>
      <c r="G111" s="196"/>
      <c r="H111" s="227"/>
      <c r="I111" s="227"/>
      <c r="J111" s="198"/>
      <c r="M111" s="160"/>
      <c r="N111" s="160"/>
      <c r="O111" s="192"/>
      <c r="P111" s="193"/>
      <c r="Q111" s="168"/>
      <c r="R111" s="160"/>
    </row>
    <row r="112" ht="42.6" customHeight="1" spans="1:21">
      <c r="A112" s="188"/>
      <c r="B112" s="127"/>
      <c r="C112" s="127"/>
      <c r="D112" s="127"/>
      <c r="E112" s="127"/>
      <c r="F112" s="127"/>
      <c r="G112" s="196"/>
      <c r="H112" s="227"/>
      <c r="I112" s="227"/>
      <c r="J112" s="198"/>
      <c r="M112" s="160"/>
      <c r="N112" s="160"/>
      <c r="O112" s="192"/>
      <c r="P112" s="193"/>
      <c r="Q112" s="168"/>
      <c r="R112" s="160"/>
    </row>
    <row r="113" ht="42.6" customHeight="1" spans="1:18">
      <c r="A113" s="188"/>
      <c r="B113" s="127"/>
      <c r="C113" s="127"/>
      <c r="D113" s="127"/>
      <c r="E113" s="127"/>
      <c r="F113" s="127"/>
      <c r="G113" s="196"/>
      <c r="H113" s="227"/>
      <c r="I113" s="227"/>
      <c r="J113" s="198"/>
      <c r="M113" s="160"/>
      <c r="N113" s="160"/>
      <c r="O113" s="192"/>
      <c r="P113" s="193"/>
      <c r="Q113" s="168"/>
      <c r="R113" s="160"/>
    </row>
    <row r="114" ht="42.6" customHeight="1" spans="1:18">
      <c r="A114" s="188"/>
      <c r="B114" s="127"/>
      <c r="C114" s="127"/>
      <c r="D114" s="127"/>
      <c r="E114" s="127"/>
      <c r="F114" s="127"/>
      <c r="G114" s="196"/>
      <c r="H114" s="227"/>
      <c r="I114" s="227"/>
      <c r="J114" s="198"/>
      <c r="M114" s="160"/>
      <c r="N114" s="160"/>
      <c r="O114" s="192"/>
      <c r="P114" s="193"/>
      <c r="Q114" s="168"/>
      <c r="R114" s="160"/>
    </row>
    <row r="115" ht="42.6" customHeight="1" spans="1:18">
      <c r="A115" s="188"/>
      <c r="B115" s="127"/>
      <c r="C115" s="127"/>
      <c r="D115" s="127"/>
      <c r="E115" s="127"/>
      <c r="F115" s="127"/>
      <c r="G115" s="196"/>
      <c r="H115" s="227"/>
      <c r="I115" s="227"/>
      <c r="J115" s="198"/>
      <c r="M115" s="160"/>
      <c r="N115" s="160"/>
      <c r="O115" s="192"/>
      <c r="P115" s="193"/>
      <c r="Q115" s="168"/>
      <c r="R115" s="160"/>
    </row>
    <row r="116" ht="42.6" customHeight="1" spans="1:18">
      <c r="A116" s="188"/>
      <c r="B116" s="127"/>
      <c r="C116" s="127"/>
      <c r="D116" s="127"/>
      <c r="E116" s="127"/>
      <c r="F116" s="127"/>
      <c r="G116" s="196"/>
      <c r="H116" s="227"/>
      <c r="I116" s="227"/>
      <c r="J116" s="198"/>
      <c r="M116" s="160"/>
      <c r="N116" s="160"/>
      <c r="O116" s="192"/>
      <c r="P116" s="193"/>
      <c r="Q116" s="168"/>
      <c r="R116" s="160"/>
    </row>
    <row r="117" ht="42.6" customHeight="1" spans="1:18">
      <c r="A117" s="188"/>
      <c r="B117" s="127"/>
      <c r="C117" s="127"/>
      <c r="D117" s="127"/>
      <c r="E117" s="127"/>
      <c r="F117" s="127"/>
      <c r="G117" s="196"/>
      <c r="H117" s="227"/>
      <c r="I117" s="227"/>
      <c r="J117" s="198"/>
      <c r="M117" s="160"/>
      <c r="N117" s="160"/>
      <c r="O117" s="192"/>
      <c r="P117" s="193"/>
      <c r="Q117" s="168"/>
      <c r="R117" s="160"/>
    </row>
    <row r="118" ht="42.6" customHeight="1" spans="1:18">
      <c r="A118" s="188"/>
      <c r="B118" s="127"/>
      <c r="C118" s="127"/>
      <c r="D118" s="127"/>
      <c r="E118" s="127"/>
      <c r="F118" s="127"/>
      <c r="G118" s="196"/>
      <c r="H118" s="227"/>
      <c r="I118" s="227"/>
      <c r="J118" s="198"/>
      <c r="M118" s="160"/>
      <c r="N118" s="160"/>
      <c r="O118" s="192"/>
      <c r="P118" s="193"/>
      <c r="Q118" s="168"/>
      <c r="R118" s="160"/>
    </row>
    <row r="119" ht="42.6" customHeight="1" spans="1:18">
      <c r="A119" s="137" t="s">
        <v>35</v>
      </c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9"/>
      <c r="Q119" s="176">
        <f>SUM(Q61:Q118)</f>
        <v>8538</v>
      </c>
      <c r="R119" s="177">
        <f>SUM(R62:R118)</f>
        <v>8442.3</v>
      </c>
    </row>
    <row r="120" ht="60" customHeight="1" spans="1:18">
      <c r="A120" s="140" t="s">
        <v>5</v>
      </c>
      <c r="B120" s="141" t="s">
        <v>6</v>
      </c>
      <c r="C120" s="142"/>
      <c r="D120" s="142"/>
      <c r="E120" s="142"/>
      <c r="F120" s="142"/>
      <c r="G120" s="142"/>
      <c r="H120" s="142"/>
      <c r="I120" s="142"/>
      <c r="J120" s="142"/>
      <c r="K120" s="142"/>
      <c r="L120" s="178"/>
      <c r="M120" s="179" t="s">
        <v>7</v>
      </c>
      <c r="N120" s="179" t="s">
        <v>8</v>
      </c>
      <c r="O120" s="180" t="s">
        <v>9</v>
      </c>
      <c r="P120" s="181"/>
      <c r="Q120" s="179" t="s">
        <v>10</v>
      </c>
      <c r="R120" s="182" t="s">
        <v>10</v>
      </c>
    </row>
    <row r="121" ht="42.6" customHeight="1" spans="1:18">
      <c r="A121" s="149"/>
      <c r="B121" s="183" t="s">
        <v>163</v>
      </c>
      <c r="C121" s="184"/>
      <c r="D121" s="184"/>
      <c r="E121" s="184"/>
      <c r="F121" s="184"/>
      <c r="G121" s="184"/>
      <c r="H121" s="184"/>
      <c r="I121" s="184"/>
      <c r="J121" s="184"/>
      <c r="K121" s="185"/>
      <c r="M121" s="151"/>
      <c r="N121" s="151"/>
      <c r="O121" s="152"/>
      <c r="P121" s="153"/>
      <c r="Q121" s="152"/>
      <c r="R121" s="160"/>
    </row>
    <row r="122" ht="42.6" customHeight="1" spans="1:18">
      <c r="A122" s="149"/>
      <c r="B122" s="155" t="s">
        <v>127</v>
      </c>
      <c r="C122" s="156"/>
      <c r="D122" s="156"/>
      <c r="E122" s="156"/>
      <c r="F122" s="156"/>
      <c r="G122" s="156"/>
      <c r="H122" s="156"/>
      <c r="I122" s="156"/>
      <c r="J122" s="156"/>
      <c r="K122" s="156"/>
      <c r="L122" s="186"/>
      <c r="M122" s="157"/>
      <c r="N122" s="157"/>
      <c r="O122" s="158"/>
      <c r="P122" s="159"/>
      <c r="Q122" s="158"/>
      <c r="R122" s="160"/>
    </row>
    <row r="123" ht="42.6" customHeight="1" spans="1:18">
      <c r="A123" s="149"/>
      <c r="B123" s="187"/>
      <c r="M123" s="157"/>
      <c r="N123" s="157"/>
      <c r="O123" s="158"/>
      <c r="P123" s="159"/>
      <c r="Q123" s="158"/>
      <c r="R123" s="160"/>
    </row>
    <row r="124" ht="42.6" customHeight="1" spans="1:18">
      <c r="A124" s="188" t="s">
        <v>112</v>
      </c>
      <c r="B124" s="189" t="s">
        <v>37</v>
      </c>
      <c r="C124" s="190"/>
      <c r="D124" s="190"/>
      <c r="E124" s="190"/>
      <c r="F124" s="190"/>
      <c r="G124" s="190"/>
      <c r="H124" s="190"/>
      <c r="I124" s="190"/>
      <c r="J124" s="190"/>
      <c r="K124" s="190"/>
      <c r="L124" s="191"/>
      <c r="M124" s="157"/>
      <c r="N124" s="157"/>
      <c r="O124" s="192"/>
      <c r="P124" s="193"/>
      <c r="Q124" s="158"/>
      <c r="R124" s="160"/>
    </row>
    <row r="125" ht="42.6" customHeight="1" spans="1:18">
      <c r="A125" s="164"/>
      <c r="B125" s="194" t="s">
        <v>38</v>
      </c>
      <c r="C125" s="172"/>
      <c r="D125" s="172"/>
      <c r="E125" s="172"/>
      <c r="F125" s="172"/>
      <c r="G125" s="172"/>
      <c r="H125" s="172"/>
      <c r="I125" s="172"/>
      <c r="J125" s="172"/>
      <c r="M125" s="160"/>
      <c r="N125" s="160"/>
      <c r="O125" s="192"/>
      <c r="P125" s="193"/>
      <c r="Q125" s="192"/>
      <c r="R125" s="160"/>
    </row>
    <row r="126" ht="42.6" customHeight="1" spans="1:18">
      <c r="A126" s="164"/>
      <c r="B126" s="194" t="s">
        <v>39</v>
      </c>
      <c r="C126" s="172"/>
      <c r="D126" s="172"/>
      <c r="E126" s="172"/>
      <c r="F126" s="172"/>
      <c r="G126" s="172"/>
      <c r="H126" s="172"/>
      <c r="I126" s="172"/>
      <c r="J126" s="172"/>
      <c r="M126" s="160"/>
      <c r="N126" s="160"/>
      <c r="O126" s="192"/>
      <c r="P126" s="193"/>
      <c r="Q126" s="192"/>
      <c r="R126" s="160"/>
    </row>
    <row r="127" ht="42.6" customHeight="1" spans="1:18">
      <c r="A127" s="164"/>
      <c r="B127" s="195" t="s">
        <v>128</v>
      </c>
      <c r="C127" s="127"/>
      <c r="D127" s="127"/>
      <c r="E127" s="127"/>
      <c r="F127" s="127"/>
      <c r="G127" s="196"/>
      <c r="H127" s="197"/>
      <c r="I127" s="197"/>
      <c r="J127" s="198"/>
      <c r="M127" s="160"/>
      <c r="N127" s="160"/>
      <c r="O127" s="168"/>
      <c r="P127" s="169"/>
      <c r="Q127" s="168"/>
      <c r="R127" s="160"/>
    </row>
    <row r="128" ht="42.6" customHeight="1" spans="1:18">
      <c r="A128" s="164"/>
      <c r="B128" s="127">
        <v>30</v>
      </c>
      <c r="C128" s="127" t="s">
        <v>129</v>
      </c>
      <c r="D128" s="127" t="s">
        <v>130</v>
      </c>
      <c r="E128" s="127">
        <v>0.4</v>
      </c>
      <c r="F128" s="127" t="s">
        <v>131</v>
      </c>
      <c r="G128" s="196"/>
      <c r="H128" s="197" t="s">
        <v>130</v>
      </c>
      <c r="I128" s="199">
        <v>0.8</v>
      </c>
      <c r="J128" s="200" t="s">
        <v>132</v>
      </c>
      <c r="M128" s="160" t="s">
        <v>133</v>
      </c>
      <c r="N128" s="171">
        <f>B128*E128*I128</f>
        <v>9.6</v>
      </c>
      <c r="O128" s="168">
        <v>53.4</v>
      </c>
      <c r="P128" s="169"/>
      <c r="Q128" s="168">
        <f>N128*O128</f>
        <v>512.64</v>
      </c>
      <c r="R128" s="171">
        <f>Q128</f>
        <v>512.64</v>
      </c>
    </row>
    <row r="129" ht="42.6" customHeight="1" spans="1:18">
      <c r="A129" s="164"/>
      <c r="B129" s="211"/>
      <c r="C129" s="172"/>
      <c r="D129" s="172"/>
      <c r="E129" s="172"/>
      <c r="F129" s="172"/>
      <c r="G129" s="172"/>
      <c r="H129" s="172"/>
      <c r="I129" s="172"/>
      <c r="J129" s="172"/>
      <c r="M129" s="160"/>
      <c r="N129" s="160"/>
      <c r="O129" s="192"/>
      <c r="P129" s="193"/>
      <c r="Q129" s="192"/>
      <c r="R129" s="160"/>
    </row>
    <row r="130" ht="42.6" customHeight="1" spans="1:18">
      <c r="A130" s="164" t="s">
        <v>122</v>
      </c>
      <c r="B130" s="238" t="s">
        <v>45</v>
      </c>
      <c r="C130" s="172"/>
      <c r="D130" s="172"/>
      <c r="E130" s="172"/>
      <c r="F130" s="172"/>
      <c r="G130" s="172"/>
      <c r="H130" s="172"/>
      <c r="I130" s="172"/>
      <c r="J130" s="172"/>
      <c r="M130" s="160"/>
      <c r="N130" s="160"/>
      <c r="O130" s="192"/>
      <c r="P130" s="193"/>
      <c r="Q130" s="192"/>
      <c r="R130" s="160"/>
    </row>
    <row r="131" ht="42.6" customHeight="1" spans="1:18">
      <c r="A131" s="164"/>
      <c r="B131" s="213" t="s">
        <v>164</v>
      </c>
      <c r="D131" s="172"/>
      <c r="E131" s="172"/>
      <c r="F131" s="172"/>
      <c r="G131" s="172"/>
      <c r="H131" s="172"/>
      <c r="I131" s="172"/>
      <c r="J131" s="172"/>
      <c r="M131" s="160"/>
      <c r="N131" s="160"/>
      <c r="O131" s="192"/>
      <c r="P131" s="193"/>
      <c r="Q131" s="168"/>
      <c r="R131" s="160"/>
    </row>
    <row r="132" ht="42.6" customHeight="1" spans="1:18">
      <c r="A132" s="164"/>
      <c r="B132" s="213" t="s">
        <v>47</v>
      </c>
      <c r="D132" s="172"/>
      <c r="E132" s="172"/>
      <c r="F132" s="172"/>
      <c r="G132" s="172"/>
      <c r="H132" s="172"/>
      <c r="I132" s="172"/>
      <c r="J132" s="172"/>
      <c r="M132" s="160"/>
      <c r="N132" s="160"/>
      <c r="O132" s="192"/>
      <c r="P132" s="193"/>
      <c r="Q132" s="192"/>
      <c r="R132" s="160"/>
    </row>
    <row r="133" ht="42.6" customHeight="1" spans="1:18">
      <c r="A133" s="164"/>
      <c r="B133" s="213" t="s">
        <v>165</v>
      </c>
      <c r="C133" s="127"/>
      <c r="D133" s="127"/>
      <c r="E133" s="127"/>
      <c r="F133" s="127"/>
      <c r="G133" s="196"/>
      <c r="H133" s="172"/>
      <c r="I133" s="172"/>
      <c r="J133" s="172"/>
      <c r="M133" s="160"/>
      <c r="N133" s="160"/>
      <c r="O133" s="168"/>
      <c r="P133" s="169"/>
      <c r="Q133" s="168"/>
      <c r="R133" s="160"/>
    </row>
    <row r="134" ht="42.6" customHeight="1" spans="1:18">
      <c r="A134" s="164"/>
      <c r="B134" s="127">
        <v>30</v>
      </c>
      <c r="C134" s="127" t="s">
        <v>129</v>
      </c>
      <c r="D134" s="127" t="s">
        <v>130</v>
      </c>
      <c r="E134" s="127">
        <v>0.4</v>
      </c>
      <c r="F134" s="127" t="s">
        <v>131</v>
      </c>
      <c r="G134" s="196"/>
      <c r="H134" s="172"/>
      <c r="I134" s="172"/>
      <c r="J134" s="172"/>
      <c r="M134" s="160" t="s">
        <v>151</v>
      </c>
      <c r="N134" s="160">
        <f>B134*E134</f>
        <v>12</v>
      </c>
      <c r="O134" s="192">
        <v>27.35</v>
      </c>
      <c r="P134" s="193"/>
      <c r="Q134" s="168">
        <f>N134*O134</f>
        <v>328.2</v>
      </c>
      <c r="R134" s="171">
        <f>Q134</f>
        <v>328.2</v>
      </c>
    </row>
    <row r="135" ht="42.6" customHeight="1" spans="1:18">
      <c r="A135" s="164"/>
      <c r="B135" s="239"/>
      <c r="C135" s="172"/>
      <c r="D135" s="172"/>
      <c r="E135" s="172"/>
      <c r="F135" s="172"/>
      <c r="G135" s="172"/>
      <c r="H135" s="172"/>
      <c r="I135" s="172"/>
      <c r="J135" s="172"/>
      <c r="M135" s="167"/>
      <c r="N135" s="160"/>
      <c r="O135" s="168"/>
      <c r="P135" s="169"/>
      <c r="Q135" s="192"/>
      <c r="R135" s="160"/>
    </row>
    <row r="136" ht="42.6" customHeight="1" spans="1:18">
      <c r="A136" s="175" t="s">
        <v>139</v>
      </c>
      <c r="B136" s="230" t="s">
        <v>51</v>
      </c>
      <c r="C136" s="172"/>
      <c r="D136" s="172"/>
      <c r="E136" s="172"/>
      <c r="F136" s="172"/>
      <c r="G136" s="172"/>
      <c r="H136" s="172"/>
      <c r="I136" s="172"/>
      <c r="J136" s="172"/>
      <c r="M136" s="160"/>
      <c r="N136" s="160"/>
      <c r="O136" s="192"/>
      <c r="P136" s="193"/>
      <c r="Q136" s="168"/>
      <c r="R136" s="160"/>
    </row>
    <row r="137" ht="42.6" customHeight="1" spans="1:18">
      <c r="A137" s="175"/>
      <c r="B137" s="213" t="s">
        <v>166</v>
      </c>
      <c r="C137" s="127"/>
      <c r="D137" s="127"/>
      <c r="E137" s="127"/>
      <c r="F137" s="127"/>
      <c r="G137" s="196"/>
      <c r="H137" s="127"/>
      <c r="I137" s="196"/>
      <c r="J137" s="196"/>
      <c r="M137" s="160"/>
      <c r="N137" s="160"/>
      <c r="O137" s="192"/>
      <c r="P137" s="193"/>
      <c r="Q137" s="168"/>
      <c r="R137" s="160"/>
    </row>
    <row r="138" ht="42.6" customHeight="1" spans="1:18">
      <c r="A138" s="164"/>
      <c r="B138" s="213" t="s">
        <v>53</v>
      </c>
      <c r="C138" s="127"/>
      <c r="D138" s="127"/>
      <c r="E138" s="219"/>
      <c r="F138" s="127"/>
      <c r="G138" s="220"/>
      <c r="H138" s="127"/>
      <c r="I138" s="196"/>
      <c r="J138" s="163"/>
      <c r="M138" s="160"/>
      <c r="N138" s="221"/>
      <c r="O138" s="168"/>
      <c r="P138" s="169"/>
      <c r="Q138" s="170"/>
      <c r="R138" s="160"/>
    </row>
    <row r="139" ht="42.6" customHeight="1" spans="1:18">
      <c r="A139" s="188"/>
      <c r="B139" s="213" t="s">
        <v>54</v>
      </c>
      <c r="M139" s="160"/>
      <c r="N139" s="160"/>
      <c r="O139" s="192"/>
      <c r="P139" s="193"/>
      <c r="Q139" s="192"/>
      <c r="R139" s="160"/>
    </row>
    <row r="140" ht="42.6" customHeight="1" spans="1:18">
      <c r="A140" s="188"/>
      <c r="B140" s="127">
        <v>30</v>
      </c>
      <c r="C140" s="127" t="s">
        <v>129</v>
      </c>
      <c r="D140" s="127" t="s">
        <v>130</v>
      </c>
      <c r="E140" s="127">
        <v>0.4</v>
      </c>
      <c r="F140" s="127" t="s">
        <v>131</v>
      </c>
      <c r="G140" s="196"/>
      <c r="H140" s="222"/>
      <c r="I140" s="222"/>
      <c r="J140" s="222"/>
      <c r="M140" s="160" t="s">
        <v>151</v>
      </c>
      <c r="N140" s="160">
        <f>B140*E140</f>
        <v>12</v>
      </c>
      <c r="O140" s="168">
        <v>30.3</v>
      </c>
      <c r="P140" s="169"/>
      <c r="Q140" s="168">
        <f t="shared" ref="Q140:Q160" si="1">N140*O140</f>
        <v>363.6</v>
      </c>
      <c r="R140" s="171">
        <f t="shared" ref="R140:R167" si="2">Q140</f>
        <v>363.6</v>
      </c>
    </row>
    <row r="141" ht="42.6" customHeight="1" spans="1:18">
      <c r="A141" s="188"/>
      <c r="B141" s="127">
        <v>30</v>
      </c>
      <c r="C141" s="127" t="s">
        <v>129</v>
      </c>
      <c r="D141" s="127" t="s">
        <v>130</v>
      </c>
      <c r="E141" s="127">
        <v>0.6</v>
      </c>
      <c r="F141" s="127" t="s">
        <v>132</v>
      </c>
      <c r="G141" s="196"/>
      <c r="H141" s="240" t="s">
        <v>130</v>
      </c>
      <c r="I141" s="240">
        <v>2</v>
      </c>
      <c r="J141" s="222"/>
      <c r="K141" s="225"/>
      <c r="M141" s="160" t="s">
        <v>151</v>
      </c>
      <c r="N141" s="160">
        <f>B141*E141*I141</f>
        <v>36</v>
      </c>
      <c r="O141" s="168">
        <v>30.3</v>
      </c>
      <c r="P141" s="169"/>
      <c r="Q141" s="168">
        <f t="shared" si="1"/>
        <v>1090.8</v>
      </c>
      <c r="R141" s="171">
        <f t="shared" si="2"/>
        <v>1090.8</v>
      </c>
    </row>
    <row r="142" ht="42.6" customHeight="1" spans="1:18">
      <c r="A142" s="188"/>
      <c r="B142" s="190"/>
      <c r="C142" s="222"/>
      <c r="D142" s="222"/>
      <c r="E142" s="222"/>
      <c r="F142" s="222"/>
      <c r="G142" s="222"/>
      <c r="H142" s="222"/>
      <c r="I142" s="222"/>
      <c r="J142" s="222"/>
      <c r="M142" s="160"/>
      <c r="N142" s="160"/>
      <c r="O142" s="192"/>
      <c r="P142" s="193"/>
      <c r="Q142" s="192"/>
      <c r="R142" s="160"/>
    </row>
    <row r="143" ht="42.6" customHeight="1" spans="1:18">
      <c r="A143" s="188" t="s">
        <v>146</v>
      </c>
      <c r="B143" s="229" t="s">
        <v>56</v>
      </c>
      <c r="M143" s="157"/>
      <c r="N143" s="160"/>
      <c r="O143" s="192"/>
      <c r="P143" s="193"/>
      <c r="Q143" s="192"/>
      <c r="R143" s="160"/>
    </row>
    <row r="144" ht="42.6" customHeight="1" spans="1:18">
      <c r="A144" s="164"/>
      <c r="B144" s="213" t="s">
        <v>57</v>
      </c>
      <c r="C144" s="127"/>
      <c r="D144" s="127"/>
      <c r="E144" s="219"/>
      <c r="F144" s="127"/>
      <c r="G144" s="220"/>
      <c r="J144" s="163"/>
      <c r="M144" s="160"/>
      <c r="N144" s="221"/>
      <c r="O144" s="168"/>
      <c r="P144" s="169"/>
      <c r="Q144" s="170"/>
      <c r="R144" s="160"/>
    </row>
    <row r="145" ht="42.6" customHeight="1" spans="1:18">
      <c r="A145" s="188"/>
      <c r="B145" s="213" t="s">
        <v>167</v>
      </c>
      <c r="C145" s="127"/>
      <c r="D145" s="127"/>
      <c r="E145" s="127"/>
      <c r="F145" s="127"/>
      <c r="G145" s="196"/>
      <c r="J145" s="198"/>
      <c r="M145" s="160"/>
      <c r="N145" s="160"/>
      <c r="O145" s="168"/>
      <c r="P145" s="169"/>
      <c r="Q145" s="168"/>
      <c r="R145" s="160"/>
    </row>
    <row r="146" ht="42" customHeight="1" spans="1:18">
      <c r="A146" s="188"/>
      <c r="B146" s="194" t="s">
        <v>168</v>
      </c>
      <c r="C146" s="127"/>
      <c r="D146" s="127"/>
      <c r="E146" s="127"/>
      <c r="F146" s="127"/>
      <c r="G146" s="196"/>
      <c r="J146" s="198"/>
      <c r="M146" s="160"/>
      <c r="N146" s="160"/>
      <c r="O146" s="168"/>
      <c r="P146" s="169"/>
      <c r="Q146" s="168"/>
      <c r="R146" s="160"/>
    </row>
    <row r="147" ht="42.6" customHeight="1" spans="1:18">
      <c r="A147" s="188"/>
      <c r="B147" s="127">
        <v>30</v>
      </c>
      <c r="C147" s="127" t="s">
        <v>129</v>
      </c>
      <c r="D147" s="127" t="s">
        <v>130</v>
      </c>
      <c r="E147" s="127">
        <v>0.6</v>
      </c>
      <c r="F147" s="127" t="s">
        <v>132</v>
      </c>
      <c r="G147" s="196"/>
      <c r="H147" s="240" t="s">
        <v>130</v>
      </c>
      <c r="I147" s="240">
        <v>2</v>
      </c>
      <c r="J147" s="222"/>
      <c r="K147" s="225"/>
      <c r="M147" s="160" t="s">
        <v>151</v>
      </c>
      <c r="N147" s="160">
        <f>B147*E147*I147</f>
        <v>36</v>
      </c>
      <c r="O147" s="168">
        <v>28.05</v>
      </c>
      <c r="P147" s="169"/>
      <c r="Q147" s="168">
        <f t="shared" si="1"/>
        <v>1009.8</v>
      </c>
      <c r="R147" s="171">
        <f t="shared" si="2"/>
        <v>1009.8</v>
      </c>
    </row>
    <row r="148" ht="42.6" customHeight="1" spans="1:18">
      <c r="A148" s="188"/>
      <c r="B148" s="195"/>
      <c r="C148" s="127"/>
      <c r="D148" s="127"/>
      <c r="E148" s="127"/>
      <c r="F148" s="127"/>
      <c r="G148" s="196"/>
      <c r="H148" s="227"/>
      <c r="I148" s="227"/>
      <c r="J148" s="198"/>
      <c r="M148" s="160"/>
      <c r="N148" s="160"/>
      <c r="O148" s="192"/>
      <c r="P148" s="193"/>
      <c r="Q148" s="168"/>
      <c r="R148" s="160"/>
    </row>
    <row r="149" ht="42.6" customHeight="1" spans="1:18">
      <c r="A149" s="188" t="s">
        <v>149</v>
      </c>
      <c r="B149" s="233" t="s">
        <v>61</v>
      </c>
      <c r="C149" s="127"/>
      <c r="D149" s="127"/>
      <c r="E149" s="127"/>
      <c r="F149" s="127"/>
      <c r="G149" s="196"/>
      <c r="H149" s="227"/>
      <c r="I149" s="227"/>
      <c r="J149" s="198"/>
      <c r="M149" s="160"/>
      <c r="N149" s="160"/>
      <c r="O149" s="192"/>
      <c r="P149" s="193"/>
      <c r="Q149" s="168"/>
      <c r="R149" s="160"/>
    </row>
    <row r="150" ht="42.6" customHeight="1" spans="1:18">
      <c r="A150" s="188"/>
      <c r="B150" s="214" t="s">
        <v>155</v>
      </c>
      <c r="C150" s="127"/>
      <c r="D150" s="127"/>
      <c r="E150" s="127"/>
      <c r="F150" s="127"/>
      <c r="G150" s="196"/>
      <c r="H150" s="227"/>
      <c r="I150" s="227"/>
      <c r="J150" s="198"/>
      <c r="M150" s="160"/>
      <c r="N150" s="160"/>
      <c r="O150" s="192"/>
      <c r="P150" s="193"/>
      <c r="Q150" s="168"/>
      <c r="R150" s="160"/>
    </row>
    <row r="151" ht="42.6" customHeight="1" spans="1:18">
      <c r="A151" s="188"/>
      <c r="B151" s="214" t="s">
        <v>63</v>
      </c>
      <c r="C151" s="127"/>
      <c r="D151" s="127"/>
      <c r="E151" s="127"/>
      <c r="F151" s="127"/>
      <c r="G151" s="196"/>
      <c r="H151" s="227"/>
      <c r="I151" s="227"/>
      <c r="J151" s="198"/>
      <c r="M151" s="160"/>
      <c r="N151" s="160"/>
      <c r="O151" s="192"/>
      <c r="P151" s="193"/>
      <c r="Q151" s="168"/>
      <c r="R151" s="160"/>
    </row>
    <row r="152" ht="42.6" customHeight="1" spans="1:18">
      <c r="A152" s="188"/>
      <c r="B152" s="395" t="s">
        <v>156</v>
      </c>
      <c r="C152" s="127"/>
      <c r="D152" s="127"/>
      <c r="E152" s="127"/>
      <c r="F152" s="127"/>
      <c r="G152" s="196"/>
      <c r="H152" s="227"/>
      <c r="I152" s="227"/>
      <c r="J152" s="198"/>
      <c r="M152" s="160"/>
      <c r="N152" s="160"/>
      <c r="O152" s="192"/>
      <c r="P152" s="193"/>
      <c r="Q152" s="168"/>
      <c r="R152" s="160"/>
    </row>
    <row r="153" ht="42.6" customHeight="1" spans="1:18">
      <c r="A153" s="188"/>
      <c r="B153" s="214" t="s">
        <v>169</v>
      </c>
      <c r="C153" s="127"/>
      <c r="D153" s="127"/>
      <c r="E153" s="127"/>
      <c r="F153" s="127"/>
      <c r="G153" s="196"/>
      <c r="H153" s="227"/>
      <c r="I153" s="227"/>
      <c r="J153" s="198"/>
      <c r="M153" s="160"/>
      <c r="N153" s="160"/>
      <c r="O153" s="192"/>
      <c r="P153" s="193"/>
      <c r="Q153" s="168"/>
      <c r="R153" s="160"/>
    </row>
    <row r="154" ht="42.6" customHeight="1" spans="1:18">
      <c r="A154" s="188"/>
      <c r="B154" s="127">
        <v>30</v>
      </c>
      <c r="C154" s="127" t="s">
        <v>129</v>
      </c>
      <c r="D154" s="127" t="s">
        <v>130</v>
      </c>
      <c r="E154" s="127">
        <v>0.4</v>
      </c>
      <c r="F154" s="127" t="s">
        <v>131</v>
      </c>
      <c r="G154" s="196"/>
      <c r="H154" s="222"/>
      <c r="I154" s="222"/>
      <c r="J154" s="222"/>
      <c r="M154" s="160" t="s">
        <v>151</v>
      </c>
      <c r="N154" s="160">
        <f>B154*E154</f>
        <v>12</v>
      </c>
      <c r="O154" s="168">
        <v>46.01</v>
      </c>
      <c r="P154" s="169"/>
      <c r="Q154" s="168">
        <f t="shared" si="1"/>
        <v>552.12</v>
      </c>
      <c r="R154" s="171">
        <f t="shared" si="2"/>
        <v>552.12</v>
      </c>
    </row>
    <row r="155" ht="42.6" customHeight="1" spans="1:18">
      <c r="A155" s="188"/>
      <c r="B155" s="127">
        <v>30</v>
      </c>
      <c r="C155" s="127" t="s">
        <v>129</v>
      </c>
      <c r="D155" s="127" t="s">
        <v>130</v>
      </c>
      <c r="E155" s="127">
        <v>0.6</v>
      </c>
      <c r="F155" s="127" t="s">
        <v>132</v>
      </c>
      <c r="G155" s="196"/>
      <c r="H155" s="240" t="s">
        <v>130</v>
      </c>
      <c r="I155" s="240">
        <v>2</v>
      </c>
      <c r="J155" s="222"/>
      <c r="K155" s="225"/>
      <c r="M155" s="160" t="s">
        <v>151</v>
      </c>
      <c r="N155" s="160">
        <f>B155*E155*I155</f>
        <v>36</v>
      </c>
      <c r="O155" s="168">
        <v>46.01</v>
      </c>
      <c r="P155" s="169"/>
      <c r="Q155" s="168">
        <f t="shared" si="1"/>
        <v>1656.36</v>
      </c>
      <c r="R155" s="171">
        <f t="shared" si="2"/>
        <v>1656.36</v>
      </c>
    </row>
    <row r="156" ht="42.6" customHeight="1" spans="1:18">
      <c r="A156" s="188"/>
      <c r="B156" s="127"/>
      <c r="C156" s="127"/>
      <c r="D156" s="127"/>
      <c r="E156" s="127"/>
      <c r="F156" s="127"/>
      <c r="G156" s="196"/>
      <c r="H156" s="227"/>
      <c r="I156" s="227"/>
      <c r="J156" s="198"/>
      <c r="M156" s="160"/>
      <c r="N156" s="160"/>
      <c r="O156" s="192"/>
      <c r="P156" s="193"/>
      <c r="Q156" s="168"/>
      <c r="R156" s="160"/>
    </row>
    <row r="157" ht="42.6" customHeight="1" spans="1:18">
      <c r="A157" s="188" t="s">
        <v>152</v>
      </c>
      <c r="B157" s="233" t="s">
        <v>170</v>
      </c>
      <c r="C157" s="127"/>
      <c r="D157" s="127"/>
      <c r="E157" s="127"/>
      <c r="F157" s="127"/>
      <c r="G157" s="196"/>
      <c r="H157" s="227"/>
      <c r="I157" s="227"/>
      <c r="J157" s="198"/>
      <c r="M157" s="160"/>
      <c r="N157" s="160"/>
      <c r="O157" s="192"/>
      <c r="P157" s="193"/>
      <c r="Q157" s="168"/>
      <c r="R157" s="160"/>
    </row>
    <row r="158" ht="42.6" customHeight="1" spans="1:18">
      <c r="A158" s="188"/>
      <c r="B158" s="213" t="s">
        <v>67</v>
      </c>
      <c r="C158" s="127"/>
      <c r="D158" s="127"/>
      <c r="E158" s="127"/>
      <c r="F158" s="127"/>
      <c r="G158" s="196"/>
      <c r="H158" s="227"/>
      <c r="I158" s="227"/>
      <c r="J158" s="198"/>
      <c r="M158" s="160"/>
      <c r="N158" s="160"/>
      <c r="O158" s="192"/>
      <c r="P158" s="193"/>
      <c r="Q158" s="168"/>
      <c r="R158" s="160"/>
    </row>
    <row r="159" ht="42.6" customHeight="1" spans="1:18">
      <c r="A159" s="188"/>
      <c r="B159" s="213" t="s">
        <v>171</v>
      </c>
      <c r="C159" s="127"/>
      <c r="D159" s="127"/>
      <c r="E159" s="127"/>
      <c r="F159" s="127"/>
      <c r="G159" s="196"/>
      <c r="H159" s="227"/>
      <c r="I159" s="227"/>
      <c r="J159" s="198"/>
      <c r="M159" s="160"/>
      <c r="N159" s="160"/>
      <c r="O159" s="192"/>
      <c r="P159" s="193"/>
      <c r="Q159" s="168"/>
      <c r="R159" s="160"/>
    </row>
    <row r="160" ht="42.6" customHeight="1" spans="1:18">
      <c r="A160" s="188"/>
      <c r="B160" s="213" t="s">
        <v>172</v>
      </c>
      <c r="C160" s="127"/>
      <c r="D160" s="127"/>
      <c r="E160" s="127"/>
      <c r="F160" s="127"/>
      <c r="G160" s="196"/>
      <c r="H160" s="227"/>
      <c r="I160" s="227"/>
      <c r="J160" s="198"/>
      <c r="M160" s="160" t="s">
        <v>138</v>
      </c>
      <c r="N160" s="160">
        <v>30</v>
      </c>
      <c r="O160" s="168">
        <v>17.7</v>
      </c>
      <c r="P160" s="169"/>
      <c r="Q160" s="168">
        <f t="shared" si="1"/>
        <v>531</v>
      </c>
      <c r="R160" s="171">
        <f t="shared" si="2"/>
        <v>531</v>
      </c>
    </row>
    <row r="161" ht="42.6" customHeight="1" spans="1:18">
      <c r="A161" s="188"/>
      <c r="B161" s="241"/>
      <c r="C161" s="127"/>
      <c r="D161" s="127"/>
      <c r="E161" s="127"/>
      <c r="F161" s="127"/>
      <c r="G161" s="196"/>
      <c r="H161" s="227"/>
      <c r="I161" s="227"/>
      <c r="J161" s="198"/>
      <c r="M161" s="160"/>
      <c r="N161" s="160"/>
      <c r="O161" s="192"/>
      <c r="P161" s="193"/>
      <c r="Q161" s="168"/>
      <c r="R161" s="160"/>
    </row>
    <row r="162" ht="42.6" customHeight="1" spans="1:18">
      <c r="A162" s="188" t="s">
        <v>154</v>
      </c>
      <c r="B162" s="215" t="s">
        <v>140</v>
      </c>
      <c r="C162" s="127"/>
      <c r="D162" s="127"/>
      <c r="E162" s="127"/>
      <c r="F162" s="127"/>
      <c r="G162" s="196"/>
      <c r="H162" s="227"/>
      <c r="I162" s="227"/>
      <c r="J162" s="198"/>
      <c r="M162" s="160"/>
      <c r="N162" s="160"/>
      <c r="O162" s="192"/>
      <c r="P162" s="193"/>
      <c r="Q162" s="168"/>
      <c r="R162" s="160"/>
    </row>
    <row r="163" ht="42.6" customHeight="1" spans="1:18">
      <c r="A163" s="188"/>
      <c r="B163" s="216" t="s">
        <v>141</v>
      </c>
      <c r="C163" s="217"/>
      <c r="D163" s="217"/>
      <c r="E163" s="217"/>
      <c r="F163" s="217"/>
      <c r="G163" s="217"/>
      <c r="H163" s="217"/>
      <c r="I163" s="217"/>
      <c r="J163" s="217"/>
      <c r="K163" s="217"/>
      <c r="L163" s="218"/>
      <c r="M163" s="160"/>
      <c r="N163" s="160"/>
      <c r="O163" s="192"/>
      <c r="P163" s="193"/>
      <c r="Q163" s="168"/>
      <c r="R163" s="160"/>
    </row>
    <row r="164" ht="42.6" customHeight="1" spans="1:18">
      <c r="A164" s="188"/>
      <c r="B164" s="213" t="s">
        <v>142</v>
      </c>
      <c r="C164" s="127"/>
      <c r="D164" s="127"/>
      <c r="E164" s="127"/>
      <c r="F164" s="127"/>
      <c r="G164" s="196"/>
      <c r="H164" s="227"/>
      <c r="I164" s="227"/>
      <c r="J164" s="198"/>
      <c r="M164" s="160"/>
      <c r="N164" s="160"/>
      <c r="O164" s="192"/>
      <c r="P164" s="193"/>
      <c r="Q164" s="168"/>
      <c r="R164" s="160"/>
    </row>
    <row r="165" ht="42.6" customHeight="1" spans="1:18">
      <c r="A165" s="188"/>
      <c r="B165" s="213" t="s">
        <v>143</v>
      </c>
      <c r="C165" s="127"/>
      <c r="D165" s="127"/>
      <c r="E165" s="127"/>
      <c r="F165" s="127"/>
      <c r="G165" s="196"/>
      <c r="H165" s="227"/>
      <c r="I165" s="227"/>
      <c r="J165" s="198"/>
      <c r="M165" s="160"/>
      <c r="N165" s="160"/>
      <c r="O165" s="192"/>
      <c r="P165" s="193"/>
      <c r="Q165" s="168"/>
      <c r="R165" s="160"/>
    </row>
    <row r="166" ht="42.6" customHeight="1" spans="1:18">
      <c r="A166" s="188"/>
      <c r="B166" s="213" t="s">
        <v>144</v>
      </c>
      <c r="C166" s="127"/>
      <c r="D166" s="127"/>
      <c r="E166" s="127"/>
      <c r="F166" s="127"/>
      <c r="G166" s="196"/>
      <c r="H166" s="227"/>
      <c r="I166" s="227"/>
      <c r="J166" s="198"/>
      <c r="M166" s="160"/>
      <c r="N166" s="160"/>
      <c r="O166" s="192"/>
      <c r="P166" s="193"/>
      <c r="Q166" s="168"/>
      <c r="R166" s="160"/>
    </row>
    <row r="167" ht="42.6" customHeight="1" spans="1:18">
      <c r="A167" s="188"/>
      <c r="B167" s="214" t="s">
        <v>145</v>
      </c>
      <c r="C167" s="127"/>
      <c r="D167" s="127"/>
      <c r="E167" s="127"/>
      <c r="F167" s="127"/>
      <c r="G167" s="196"/>
      <c r="H167" s="227"/>
      <c r="I167" s="227"/>
      <c r="J167" s="198"/>
      <c r="M167" s="160" t="s">
        <v>89</v>
      </c>
      <c r="N167" s="160">
        <v>1</v>
      </c>
      <c r="O167" s="168">
        <v>822.6</v>
      </c>
      <c r="P167" s="169"/>
      <c r="Q167" s="168">
        <f>O167*N167</f>
        <v>822.6</v>
      </c>
      <c r="R167" s="171">
        <f t="shared" si="2"/>
        <v>822.6</v>
      </c>
    </row>
    <row r="168" ht="42.6" customHeight="1" spans="1:18">
      <c r="A168" s="188"/>
      <c r="B168" s="127"/>
      <c r="C168" s="127"/>
      <c r="D168" s="127"/>
      <c r="E168" s="127"/>
      <c r="F168" s="127"/>
      <c r="G168" s="196"/>
      <c r="H168" s="227"/>
      <c r="I168" s="227"/>
      <c r="J168" s="198"/>
      <c r="M168" s="160"/>
      <c r="N168" s="160"/>
      <c r="O168" s="192"/>
      <c r="P168" s="193"/>
      <c r="Q168" s="168"/>
      <c r="R168" s="160"/>
    </row>
    <row r="169" ht="42.6" customHeight="1" spans="1:18">
      <c r="A169" s="188" t="s">
        <v>158</v>
      </c>
      <c r="B169" s="242" t="s">
        <v>173</v>
      </c>
      <c r="C169" s="127"/>
      <c r="D169" s="127"/>
      <c r="E169" s="127"/>
      <c r="F169" s="127"/>
      <c r="G169" s="196"/>
      <c r="H169" s="227"/>
      <c r="I169" s="227"/>
      <c r="J169" s="198"/>
      <c r="M169" s="160"/>
      <c r="N169" s="160"/>
      <c r="O169" s="192"/>
      <c r="P169" s="193"/>
      <c r="Q169" s="168"/>
      <c r="R169" s="160"/>
    </row>
    <row r="170" ht="42.6" customHeight="1" spans="1:18">
      <c r="A170" s="188"/>
      <c r="B170" s="124" t="s">
        <v>174</v>
      </c>
      <c r="C170" s="127"/>
      <c r="D170" s="127"/>
      <c r="E170" s="127"/>
      <c r="F170" s="127"/>
      <c r="G170" s="196"/>
      <c r="H170" s="227"/>
      <c r="I170" s="227"/>
      <c r="J170" s="198"/>
      <c r="M170" s="160"/>
      <c r="N170" s="160"/>
      <c r="O170" s="192"/>
      <c r="P170" s="193"/>
      <c r="Q170" s="168"/>
      <c r="R170" s="160"/>
    </row>
    <row r="171" ht="42.6" customHeight="1" spans="1:18">
      <c r="A171" s="188"/>
      <c r="B171" s="124" t="s">
        <v>175</v>
      </c>
      <c r="C171" s="127"/>
      <c r="D171" s="127"/>
      <c r="E171" s="127"/>
      <c r="F171" s="127"/>
      <c r="G171" s="196"/>
      <c r="H171" s="227"/>
      <c r="I171" s="227"/>
      <c r="J171" s="198"/>
      <c r="M171" s="160"/>
      <c r="N171" s="160"/>
      <c r="O171" s="192"/>
      <c r="P171" s="193"/>
      <c r="Q171" s="168"/>
      <c r="R171" s="160"/>
    </row>
    <row r="172" ht="42.6" customHeight="1" spans="1:18">
      <c r="A172" s="188"/>
      <c r="B172" s="124" t="s">
        <v>176</v>
      </c>
      <c r="C172" s="127"/>
      <c r="D172" s="127"/>
      <c r="E172" s="127"/>
      <c r="F172" s="127"/>
      <c r="G172" s="196"/>
      <c r="H172" s="227"/>
      <c r="I172" s="227"/>
      <c r="J172" s="198"/>
      <c r="M172" s="160"/>
      <c r="N172" s="160"/>
      <c r="O172" s="192"/>
      <c r="P172" s="193"/>
      <c r="Q172" s="168"/>
      <c r="R172" s="160"/>
    </row>
    <row r="173" ht="42.6" customHeight="1" spans="1:18">
      <c r="A173" s="188"/>
      <c r="B173" s="127" t="s">
        <v>177</v>
      </c>
      <c r="C173" s="127"/>
      <c r="D173" s="127"/>
      <c r="E173" s="127"/>
      <c r="F173" s="127"/>
      <c r="G173" s="196"/>
      <c r="H173" s="227"/>
      <c r="I173" s="227"/>
      <c r="J173" s="198"/>
      <c r="M173" s="160" t="s">
        <v>89</v>
      </c>
      <c r="N173" s="160">
        <v>4</v>
      </c>
      <c r="O173" s="192">
        <v>37.71</v>
      </c>
      <c r="P173" s="193"/>
      <c r="Q173" s="168"/>
      <c r="R173" s="160">
        <f>O173*N173</f>
        <v>150.84</v>
      </c>
    </row>
    <row r="174" ht="42.6" customHeight="1" spans="1:18">
      <c r="A174" s="188"/>
      <c r="B174" s="127"/>
      <c r="C174" s="127"/>
      <c r="D174" s="127"/>
      <c r="E174" s="127"/>
      <c r="F174" s="127"/>
      <c r="G174" s="196"/>
      <c r="H174" s="227"/>
      <c r="I174" s="227"/>
      <c r="J174" s="198"/>
      <c r="M174" s="160"/>
      <c r="N174" s="160"/>
      <c r="O174" s="192"/>
      <c r="P174" s="193"/>
      <c r="Q174" s="168"/>
      <c r="R174" s="160"/>
    </row>
    <row r="175" ht="42.6" customHeight="1" spans="1:18">
      <c r="A175" s="188"/>
      <c r="B175" s="127"/>
      <c r="C175" s="127"/>
      <c r="D175" s="127"/>
      <c r="E175" s="127"/>
      <c r="F175" s="127"/>
      <c r="G175" s="196"/>
      <c r="H175" s="227"/>
      <c r="I175" s="227"/>
      <c r="J175" s="198"/>
      <c r="M175" s="160"/>
      <c r="N175" s="160"/>
      <c r="O175" s="192"/>
      <c r="P175" s="193"/>
      <c r="Q175" s="168"/>
      <c r="R175" s="160"/>
    </row>
    <row r="176" ht="42.6" customHeight="1" spans="1:18">
      <c r="A176" s="188"/>
      <c r="B176" s="127"/>
      <c r="C176" s="127"/>
      <c r="D176" s="127"/>
      <c r="E176" s="127"/>
      <c r="F176" s="127"/>
      <c r="G176" s="196"/>
      <c r="H176" s="227"/>
      <c r="I176" s="227"/>
      <c r="J176" s="198"/>
      <c r="M176" s="160"/>
      <c r="N176" s="160"/>
      <c r="O176" s="192"/>
      <c r="P176" s="193"/>
      <c r="Q176" s="168"/>
      <c r="R176" s="160"/>
    </row>
    <row r="177" ht="42.6" customHeight="1" spans="1:18">
      <c r="A177" s="188"/>
      <c r="B177" s="127"/>
      <c r="C177" s="127"/>
      <c r="D177" s="127"/>
      <c r="E177" s="127"/>
      <c r="F177" s="127"/>
      <c r="G177" s="196"/>
      <c r="H177" s="227"/>
      <c r="I177" s="227"/>
      <c r="J177" s="198"/>
      <c r="M177" s="160"/>
      <c r="N177" s="160"/>
      <c r="O177" s="192"/>
      <c r="P177" s="193"/>
      <c r="Q177" s="168"/>
      <c r="R177" s="160"/>
    </row>
    <row r="178" ht="42.6" customHeight="1" spans="1:18">
      <c r="A178" s="188"/>
      <c r="B178" s="127"/>
      <c r="C178" s="127"/>
      <c r="D178" s="127"/>
      <c r="E178" s="127"/>
      <c r="F178" s="127"/>
      <c r="G178" s="196"/>
      <c r="H178" s="227"/>
      <c r="I178" s="227"/>
      <c r="J178" s="198"/>
      <c r="M178" s="160"/>
      <c r="N178" s="160"/>
      <c r="O178" s="192"/>
      <c r="P178" s="193"/>
      <c r="Q178" s="168"/>
      <c r="R178" s="160"/>
    </row>
    <row r="179" ht="42.6" customHeight="1" spans="1:18">
      <c r="A179" s="137" t="s">
        <v>35</v>
      </c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9"/>
      <c r="Q179" s="176">
        <f>SUM(Q121:Q178)</f>
        <v>6867.12</v>
      </c>
      <c r="R179" s="177">
        <f>SUM(R122:R177)</f>
        <v>7017.96</v>
      </c>
    </row>
    <row r="180" ht="60" customHeight="1" spans="1:18">
      <c r="A180" s="140" t="s">
        <v>5</v>
      </c>
      <c r="B180" s="141" t="s">
        <v>6</v>
      </c>
      <c r="C180" s="142"/>
      <c r="D180" s="142"/>
      <c r="E180" s="142"/>
      <c r="F180" s="142"/>
      <c r="G180" s="142"/>
      <c r="H180" s="142"/>
      <c r="I180" s="142"/>
      <c r="J180" s="142"/>
      <c r="K180" s="142"/>
      <c r="L180" s="178"/>
      <c r="M180" s="179" t="s">
        <v>7</v>
      </c>
      <c r="N180" s="179" t="s">
        <v>8</v>
      </c>
      <c r="O180" s="180" t="s">
        <v>9</v>
      </c>
      <c r="P180" s="181"/>
      <c r="Q180" s="179" t="s">
        <v>10</v>
      </c>
      <c r="R180" s="182" t="s">
        <v>10</v>
      </c>
    </row>
    <row r="181" ht="42.6" customHeight="1" spans="1:18">
      <c r="A181" s="149"/>
      <c r="B181" s="183" t="s">
        <v>178</v>
      </c>
      <c r="C181" s="184"/>
      <c r="D181" s="184"/>
      <c r="E181" s="184"/>
      <c r="F181" s="184"/>
      <c r="G181" s="184"/>
      <c r="H181" s="184"/>
      <c r="I181" s="184"/>
      <c r="J181" s="184"/>
      <c r="K181" s="185"/>
      <c r="M181" s="151"/>
      <c r="N181" s="151"/>
      <c r="O181" s="152"/>
      <c r="P181" s="153"/>
      <c r="Q181" s="152"/>
      <c r="R181" s="154"/>
    </row>
    <row r="182" ht="42.6" customHeight="1" spans="1:18">
      <c r="A182" s="149"/>
      <c r="B182" s="155" t="s">
        <v>127</v>
      </c>
      <c r="C182" s="156"/>
      <c r="D182" s="156"/>
      <c r="E182" s="156"/>
      <c r="F182" s="156"/>
      <c r="G182" s="156"/>
      <c r="H182" s="156"/>
      <c r="I182" s="156"/>
      <c r="J182" s="156"/>
      <c r="K182" s="156"/>
      <c r="L182" s="186"/>
      <c r="M182" s="157"/>
      <c r="N182" s="157"/>
      <c r="O182" s="158"/>
      <c r="P182" s="159"/>
      <c r="Q182" s="158"/>
      <c r="R182" s="160"/>
    </row>
    <row r="183" ht="42.6" customHeight="1" spans="1:18">
      <c r="A183" s="149"/>
      <c r="B183" s="187"/>
      <c r="M183" s="157"/>
      <c r="N183" s="157"/>
      <c r="O183" s="158"/>
      <c r="P183" s="159"/>
      <c r="Q183" s="158"/>
      <c r="R183" s="160"/>
    </row>
    <row r="184" ht="42.6" customHeight="1" spans="1:18">
      <c r="A184" s="164" t="s">
        <v>112</v>
      </c>
      <c r="B184" s="190" t="s">
        <v>75</v>
      </c>
      <c r="C184" s="222"/>
      <c r="D184" s="222"/>
      <c r="E184" s="222"/>
      <c r="F184" s="222"/>
      <c r="G184" s="222"/>
      <c r="H184" s="222"/>
      <c r="I184" s="222"/>
      <c r="J184" s="222"/>
      <c r="M184" s="160"/>
      <c r="N184" s="160"/>
      <c r="O184" s="192"/>
      <c r="P184" s="193"/>
      <c r="Q184" s="192"/>
      <c r="R184" s="160"/>
    </row>
    <row r="185" ht="42.6" customHeight="1" spans="1:18">
      <c r="A185" s="164"/>
      <c r="B185" s="213" t="s">
        <v>76</v>
      </c>
      <c r="M185" s="157"/>
      <c r="N185" s="160"/>
      <c r="O185" s="192"/>
      <c r="P185" s="193"/>
      <c r="Q185" s="192"/>
      <c r="R185" s="160"/>
    </row>
    <row r="186" ht="42.6" customHeight="1" spans="1:18">
      <c r="A186" s="164"/>
      <c r="B186" s="213" t="s">
        <v>77</v>
      </c>
      <c r="C186" s="127"/>
      <c r="D186" s="127"/>
      <c r="E186" s="219"/>
      <c r="F186" s="127"/>
      <c r="G186" s="220"/>
      <c r="J186" s="163"/>
      <c r="M186" s="160"/>
      <c r="N186" s="221"/>
      <c r="O186" s="168"/>
      <c r="P186" s="169"/>
      <c r="Q186" s="170"/>
      <c r="R186" s="160"/>
    </row>
    <row r="187" ht="42.6" customHeight="1" spans="1:18">
      <c r="A187" s="164"/>
      <c r="B187" s="124" t="s">
        <v>147</v>
      </c>
      <c r="C187" s="127"/>
      <c r="D187" s="127"/>
      <c r="E187" s="127"/>
      <c r="F187" s="127"/>
      <c r="G187" s="196"/>
      <c r="J187" s="198"/>
      <c r="M187" s="160" t="s">
        <v>133</v>
      </c>
      <c r="N187" s="160">
        <f>9*1*0.2</f>
        <v>1.8</v>
      </c>
      <c r="O187" s="168">
        <v>384.7</v>
      </c>
      <c r="P187" s="169"/>
      <c r="Q187" s="168">
        <f>N187*O187</f>
        <v>692.46</v>
      </c>
      <c r="R187" s="171">
        <f>Q187</f>
        <v>692.46</v>
      </c>
    </row>
    <row r="188" ht="42.6" customHeight="1" spans="1:18">
      <c r="A188" s="164"/>
      <c r="B188" s="127"/>
      <c r="C188" s="127"/>
      <c r="D188" s="127"/>
      <c r="E188" s="127"/>
      <c r="F188" s="127"/>
      <c r="G188" s="196"/>
      <c r="H188" s="227"/>
      <c r="I188" s="227"/>
      <c r="J188" s="198"/>
      <c r="M188" s="160"/>
      <c r="N188" s="160"/>
      <c r="O188" s="192"/>
      <c r="P188" s="193"/>
      <c r="Q188" s="168"/>
      <c r="R188" s="160"/>
    </row>
    <row r="189" ht="42.6" customHeight="1" spans="1:18">
      <c r="A189" s="164" t="s">
        <v>122</v>
      </c>
      <c r="B189" s="229" t="s">
        <v>56</v>
      </c>
      <c r="C189" s="127"/>
      <c r="D189" s="127"/>
      <c r="E189" s="127"/>
      <c r="F189" s="127"/>
      <c r="G189" s="196"/>
      <c r="H189" s="227"/>
      <c r="I189" s="227"/>
      <c r="J189" s="198"/>
      <c r="M189" s="160"/>
      <c r="N189" s="160"/>
      <c r="O189" s="192"/>
      <c r="P189" s="193"/>
      <c r="Q189" s="168"/>
      <c r="R189" s="160"/>
    </row>
    <row r="190" ht="42.6" customHeight="1" spans="1:18">
      <c r="A190" s="175"/>
      <c r="B190" s="213" t="s">
        <v>57</v>
      </c>
      <c r="C190" s="127"/>
      <c r="D190" s="127"/>
      <c r="E190" s="127"/>
      <c r="F190" s="127"/>
      <c r="G190" s="196"/>
      <c r="H190" s="227"/>
      <c r="I190" s="227"/>
      <c r="J190" s="198"/>
      <c r="M190" s="160"/>
      <c r="N190" s="160"/>
      <c r="O190" s="192"/>
      <c r="P190" s="193"/>
      <c r="Q190" s="168"/>
      <c r="R190" s="160"/>
    </row>
    <row r="191" ht="42.6" customHeight="1" spans="1:18">
      <c r="A191" s="175"/>
      <c r="B191" s="213" t="s">
        <v>150</v>
      </c>
      <c r="C191" s="127"/>
      <c r="D191" s="127"/>
      <c r="E191" s="127"/>
      <c r="F191" s="127"/>
      <c r="G191" s="196"/>
      <c r="H191" s="227"/>
      <c r="I191" s="227"/>
      <c r="J191" s="198"/>
      <c r="M191" s="160"/>
      <c r="N191" s="160"/>
      <c r="O191" s="192"/>
      <c r="P191" s="193"/>
      <c r="Q191" s="168"/>
      <c r="R191" s="160"/>
    </row>
    <row r="192" ht="42.6" customHeight="1" spans="1:18">
      <c r="A192" s="164"/>
      <c r="B192" s="213" t="s">
        <v>81</v>
      </c>
      <c r="C192" s="127"/>
      <c r="D192" s="127"/>
      <c r="E192" s="127"/>
      <c r="F192" s="127"/>
      <c r="G192" s="196"/>
      <c r="H192" s="227"/>
      <c r="I192" s="227"/>
      <c r="J192" s="198"/>
      <c r="M192" s="160" t="s">
        <v>151</v>
      </c>
      <c r="N192" s="160">
        <f>9*1.3</f>
        <v>11.7</v>
      </c>
      <c r="O192" s="192">
        <v>68.11</v>
      </c>
      <c r="P192" s="193"/>
      <c r="Q192" s="168">
        <f>N192*O192</f>
        <v>796.887</v>
      </c>
      <c r="R192" s="171">
        <f>Q192</f>
        <v>796.887</v>
      </c>
    </row>
    <row r="193" ht="42.6" customHeight="1" spans="1:18">
      <c r="A193" s="188"/>
      <c r="B193" s="127"/>
      <c r="C193" s="127"/>
      <c r="D193" s="127"/>
      <c r="E193" s="127"/>
      <c r="F193" s="127"/>
      <c r="G193" s="196"/>
      <c r="H193" s="227"/>
      <c r="I193" s="227"/>
      <c r="J193" s="198"/>
      <c r="M193" s="160"/>
      <c r="N193" s="160"/>
      <c r="O193" s="192"/>
      <c r="P193" s="193"/>
      <c r="Q193" s="168"/>
      <c r="R193" s="160"/>
    </row>
    <row r="194" ht="42.6" customHeight="1" spans="1:18">
      <c r="A194" s="188" t="s">
        <v>139</v>
      </c>
      <c r="B194" s="230" t="s">
        <v>51</v>
      </c>
      <c r="C194" s="127"/>
      <c r="D194" s="127"/>
      <c r="E194" s="127"/>
      <c r="F194" s="127"/>
      <c r="G194" s="196"/>
      <c r="H194" s="227"/>
      <c r="I194" s="227"/>
      <c r="J194" s="198"/>
      <c r="M194" s="160"/>
      <c r="N194" s="160"/>
      <c r="O194" s="192"/>
      <c r="P194" s="193"/>
      <c r="Q194" s="168"/>
      <c r="R194" s="160"/>
    </row>
    <row r="195" ht="42.6" customHeight="1" spans="1:18">
      <c r="A195" s="188"/>
      <c r="B195" s="231" t="s">
        <v>82</v>
      </c>
      <c r="C195" s="127"/>
      <c r="D195" s="127"/>
      <c r="E195" s="127"/>
      <c r="F195" s="127"/>
      <c r="G195" s="196"/>
      <c r="H195" s="227"/>
      <c r="I195" s="227"/>
      <c r="J195" s="198"/>
      <c r="M195" s="160"/>
      <c r="N195" s="160"/>
      <c r="O195" s="192"/>
      <c r="P195" s="193"/>
      <c r="Q195" s="168"/>
      <c r="R195" s="160"/>
    </row>
    <row r="196" ht="42.6" customHeight="1" spans="1:18">
      <c r="A196" s="188"/>
      <c r="B196" s="214" t="s">
        <v>153</v>
      </c>
      <c r="C196" s="127"/>
      <c r="D196" s="127"/>
      <c r="E196" s="127"/>
      <c r="F196" s="127"/>
      <c r="G196" s="196"/>
      <c r="H196" s="227"/>
      <c r="I196" s="227"/>
      <c r="J196" s="198"/>
      <c r="M196" s="160"/>
      <c r="N196" s="160"/>
      <c r="O196" s="192"/>
      <c r="P196" s="193"/>
      <c r="Q196" s="168"/>
      <c r="R196" s="160"/>
    </row>
    <row r="197" ht="42.6" customHeight="1" spans="1:18">
      <c r="A197" s="188"/>
      <c r="B197" s="232" t="s">
        <v>84</v>
      </c>
      <c r="C197" s="127"/>
      <c r="D197" s="127"/>
      <c r="E197" s="127"/>
      <c r="F197" s="127"/>
      <c r="G197" s="196"/>
      <c r="H197" s="227"/>
      <c r="I197" s="227"/>
      <c r="J197" s="198"/>
      <c r="M197" s="160" t="s">
        <v>151</v>
      </c>
      <c r="N197" s="160">
        <f>9*1.3</f>
        <v>11.7</v>
      </c>
      <c r="O197" s="192">
        <v>101.8</v>
      </c>
      <c r="P197" s="193"/>
      <c r="Q197" s="168">
        <f>N197*O197</f>
        <v>1191.06</v>
      </c>
      <c r="R197" s="171">
        <f>Q197</f>
        <v>1191.06</v>
      </c>
    </row>
    <row r="198" ht="42.6" customHeight="1" spans="1:18">
      <c r="A198" s="164"/>
      <c r="B198" s="127"/>
      <c r="C198" s="127"/>
      <c r="D198" s="127"/>
      <c r="E198" s="127"/>
      <c r="F198" s="127"/>
      <c r="G198" s="196"/>
      <c r="H198" s="227"/>
      <c r="I198" s="227"/>
      <c r="J198" s="198"/>
      <c r="M198" s="160"/>
      <c r="N198" s="160"/>
      <c r="O198" s="192"/>
      <c r="P198" s="193"/>
      <c r="Q198" s="168"/>
      <c r="R198" s="160"/>
    </row>
    <row r="199" ht="42.6" customHeight="1" spans="1:18">
      <c r="A199" s="188" t="s">
        <v>146</v>
      </c>
      <c r="B199" s="233" t="s">
        <v>61</v>
      </c>
      <c r="C199" s="127"/>
      <c r="D199" s="127"/>
      <c r="E199" s="127"/>
      <c r="F199" s="127"/>
      <c r="G199" s="196"/>
      <c r="H199" s="227"/>
      <c r="I199" s="227"/>
      <c r="J199" s="198"/>
      <c r="M199" s="160"/>
      <c r="N199" s="160"/>
      <c r="O199" s="192"/>
      <c r="P199" s="193"/>
      <c r="Q199" s="168"/>
      <c r="R199" s="160"/>
    </row>
    <row r="200" ht="42" customHeight="1" spans="1:18">
      <c r="A200" s="188"/>
      <c r="B200" s="214" t="s">
        <v>155</v>
      </c>
      <c r="C200" s="127"/>
      <c r="D200" s="127"/>
      <c r="E200" s="127"/>
      <c r="F200" s="127"/>
      <c r="G200" s="196"/>
      <c r="H200" s="227"/>
      <c r="I200" s="227"/>
      <c r="J200" s="198"/>
      <c r="M200" s="160"/>
      <c r="N200" s="160"/>
      <c r="O200" s="192"/>
      <c r="P200" s="193"/>
      <c r="Q200" s="168"/>
      <c r="R200" s="160"/>
    </row>
    <row r="201" ht="42.6" customHeight="1" spans="1:18">
      <c r="A201" s="188"/>
      <c r="B201" s="214" t="s">
        <v>63</v>
      </c>
      <c r="C201" s="127"/>
      <c r="D201" s="127"/>
      <c r="E201" s="127"/>
      <c r="F201" s="127"/>
      <c r="G201" s="196"/>
      <c r="H201" s="227"/>
      <c r="I201" s="227"/>
      <c r="J201" s="198"/>
      <c r="M201" s="160"/>
      <c r="N201" s="160"/>
      <c r="O201" s="192"/>
      <c r="P201" s="193"/>
      <c r="Q201" s="168"/>
      <c r="R201" s="160"/>
    </row>
    <row r="202" ht="42.6" customHeight="1" spans="1:18">
      <c r="A202" s="188"/>
      <c r="B202" s="395" t="s">
        <v>156</v>
      </c>
      <c r="C202" s="127"/>
      <c r="D202" s="127"/>
      <c r="E202" s="127"/>
      <c r="F202" s="127"/>
      <c r="G202" s="196"/>
      <c r="H202" s="227"/>
      <c r="I202" s="227"/>
      <c r="J202" s="198"/>
      <c r="M202" s="160"/>
      <c r="N202" s="160"/>
      <c r="O202" s="192"/>
      <c r="P202" s="193"/>
      <c r="Q202" s="168"/>
      <c r="R202" s="160"/>
    </row>
    <row r="203" ht="42.6" customHeight="1" spans="1:18">
      <c r="A203" s="188"/>
      <c r="B203" s="214" t="s">
        <v>157</v>
      </c>
      <c r="C203" s="127"/>
      <c r="D203" s="127"/>
      <c r="E203" s="127"/>
      <c r="F203" s="127"/>
      <c r="G203" s="196"/>
      <c r="H203" s="227"/>
      <c r="I203" s="227"/>
      <c r="J203" s="198"/>
      <c r="M203" s="160" t="s">
        <v>151</v>
      </c>
      <c r="N203" s="160">
        <f>9*1.3</f>
        <v>11.7</v>
      </c>
      <c r="O203" s="192">
        <v>91.91</v>
      </c>
      <c r="P203" s="193"/>
      <c r="Q203" s="168">
        <f>N203*O203</f>
        <v>1075.347</v>
      </c>
      <c r="R203" s="171">
        <f>Q203</f>
        <v>1075.347</v>
      </c>
    </row>
    <row r="204" ht="42.6" customHeight="1" spans="1:18">
      <c r="A204" s="188"/>
      <c r="B204" s="241"/>
      <c r="C204" s="127"/>
      <c r="D204" s="127"/>
      <c r="E204" s="127"/>
      <c r="F204" s="127"/>
      <c r="G204" s="196"/>
      <c r="H204" s="227"/>
      <c r="I204" s="227"/>
      <c r="J204" s="198"/>
      <c r="M204" s="160"/>
      <c r="N204" s="160"/>
      <c r="O204" s="192"/>
      <c r="P204" s="193"/>
      <c r="Q204" s="168"/>
      <c r="R204" s="160"/>
    </row>
    <row r="205" ht="42.6" customHeight="1" spans="1:18">
      <c r="A205" s="188" t="s">
        <v>149</v>
      </c>
      <c r="B205" s="233" t="s">
        <v>179</v>
      </c>
      <c r="C205" s="127"/>
      <c r="D205" s="127"/>
      <c r="E205" s="127"/>
      <c r="F205" s="127"/>
      <c r="G205" s="196"/>
      <c r="H205" s="227"/>
      <c r="I205" s="227"/>
      <c r="J205" s="198"/>
      <c r="M205" s="160"/>
      <c r="N205" s="160"/>
      <c r="O205" s="192"/>
      <c r="P205" s="193"/>
      <c r="Q205" s="168"/>
      <c r="R205" s="160"/>
    </row>
    <row r="206" ht="42.6" customHeight="1" spans="1:18">
      <c r="A206" s="188"/>
      <c r="B206" s="213" t="s">
        <v>180</v>
      </c>
      <c r="C206" s="127"/>
      <c r="D206" s="127"/>
      <c r="E206" s="127"/>
      <c r="F206" s="127"/>
      <c r="G206" s="196"/>
      <c r="H206" s="227"/>
      <c r="I206" s="227"/>
      <c r="J206" s="198"/>
      <c r="M206" s="160"/>
      <c r="N206" s="160"/>
      <c r="O206" s="192"/>
      <c r="P206" s="193"/>
      <c r="Q206" s="168"/>
      <c r="R206" s="160"/>
    </row>
    <row r="207" ht="42.6" customHeight="1" spans="1:18">
      <c r="A207" s="188"/>
      <c r="B207" s="213" t="s">
        <v>181</v>
      </c>
      <c r="D207" s="127"/>
      <c r="E207" s="127"/>
      <c r="F207" s="127"/>
      <c r="G207" s="196"/>
      <c r="H207" s="227"/>
      <c r="I207" s="227"/>
      <c r="J207" s="198"/>
      <c r="M207" s="160"/>
      <c r="N207" s="160"/>
      <c r="O207" s="192"/>
      <c r="P207" s="193"/>
      <c r="Q207" s="168"/>
      <c r="R207" s="160"/>
    </row>
    <row r="208" ht="42.6" customHeight="1" spans="1:18">
      <c r="A208" s="188"/>
      <c r="B208" s="214" t="s">
        <v>182</v>
      </c>
      <c r="C208" s="127"/>
      <c r="D208" s="127"/>
      <c r="E208" s="127"/>
      <c r="F208" s="127"/>
      <c r="G208" s="196"/>
      <c r="H208" s="222"/>
      <c r="I208" s="222"/>
      <c r="J208" s="222"/>
      <c r="M208" s="160" t="s">
        <v>89</v>
      </c>
      <c r="N208" s="160">
        <v>6</v>
      </c>
      <c r="O208" s="168">
        <v>201.03</v>
      </c>
      <c r="P208" s="169"/>
      <c r="Q208" s="168">
        <f>N208*O208</f>
        <v>1206.18</v>
      </c>
      <c r="R208" s="160"/>
    </row>
    <row r="209" s="121" customFormat="1" ht="42.6" customHeight="1" spans="1:18">
      <c r="A209" s="201"/>
      <c r="B209" s="243" t="s">
        <v>183</v>
      </c>
      <c r="C209" s="121"/>
      <c r="D209" s="121"/>
      <c r="E209" s="121"/>
      <c r="F209" s="121"/>
      <c r="G209" s="202"/>
      <c r="H209" s="205"/>
      <c r="I209" s="205"/>
      <c r="J209" s="244"/>
      <c r="K209" s="245"/>
      <c r="L209" s="245"/>
      <c r="M209" s="207" t="s">
        <v>89</v>
      </c>
      <c r="N209" s="207">
        <v>8</v>
      </c>
      <c r="O209" s="209">
        <v>187</v>
      </c>
      <c r="P209" s="210"/>
      <c r="R209" s="209">
        <f>N209*O209</f>
        <v>1496</v>
      </c>
    </row>
    <row r="210" ht="42.6" customHeight="1" spans="1:18">
      <c r="A210" s="188" t="s">
        <v>152</v>
      </c>
      <c r="B210" s="238" t="s">
        <v>86</v>
      </c>
      <c r="C210" s="127"/>
      <c r="D210" s="127"/>
      <c r="E210" s="127"/>
      <c r="F210" s="127"/>
      <c r="G210" s="196"/>
      <c r="H210" s="227"/>
      <c r="I210" s="227"/>
      <c r="J210" s="198"/>
      <c r="M210" s="160"/>
      <c r="N210" s="160"/>
      <c r="O210" s="192"/>
      <c r="P210" s="193"/>
      <c r="Q210" s="168"/>
      <c r="R210" s="160"/>
    </row>
    <row r="211" ht="42.6" customHeight="1" spans="1:18">
      <c r="A211" s="188"/>
      <c r="B211" s="214" t="s">
        <v>184</v>
      </c>
      <c r="C211" s="127"/>
      <c r="D211" s="127"/>
      <c r="E211" s="127"/>
      <c r="F211" s="127"/>
      <c r="G211" s="196"/>
      <c r="H211" s="227"/>
      <c r="I211" s="227"/>
      <c r="J211" s="198"/>
      <c r="M211" s="160"/>
      <c r="N211" s="160"/>
      <c r="O211" s="192"/>
      <c r="P211" s="193"/>
      <c r="Q211" s="168"/>
      <c r="R211" s="160"/>
    </row>
    <row r="212" ht="42.6" customHeight="1" spans="1:18">
      <c r="A212" s="188"/>
      <c r="B212" s="246" t="s">
        <v>87</v>
      </c>
      <c r="C212" s="127"/>
      <c r="D212" s="127"/>
      <c r="E212" s="127"/>
      <c r="F212" s="127"/>
      <c r="G212" s="196"/>
      <c r="H212" s="227"/>
      <c r="I212" s="227"/>
      <c r="J212" s="198"/>
      <c r="M212" s="160"/>
      <c r="N212" s="160"/>
      <c r="O212" s="192"/>
      <c r="P212" s="193"/>
      <c r="Q212" s="168"/>
      <c r="R212" s="160"/>
    </row>
    <row r="213" ht="42.6" customHeight="1" spans="1:18">
      <c r="A213" s="188"/>
      <c r="B213" s="214" t="s">
        <v>182</v>
      </c>
      <c r="C213" s="127"/>
      <c r="D213" s="127"/>
      <c r="E213" s="127"/>
      <c r="F213" s="127"/>
      <c r="G213" s="196"/>
      <c r="H213" s="227"/>
      <c r="I213" s="227"/>
      <c r="J213" s="198"/>
      <c r="M213" s="160" t="s">
        <v>89</v>
      </c>
      <c r="N213" s="160">
        <v>8</v>
      </c>
      <c r="O213" s="168">
        <v>122.19</v>
      </c>
      <c r="P213" s="169"/>
      <c r="Q213" s="168">
        <f>N213*O213</f>
        <v>977.52</v>
      </c>
      <c r="R213" s="160"/>
    </row>
    <row r="214" s="122" customFormat="1" ht="42.6" customHeight="1" spans="1:18">
      <c r="A214" s="247"/>
      <c r="B214" s="248" t="s">
        <v>185</v>
      </c>
      <c r="C214" s="122"/>
      <c r="D214" s="122"/>
      <c r="E214" s="122"/>
      <c r="F214" s="122"/>
      <c r="G214" s="249"/>
      <c r="H214" s="250"/>
      <c r="I214" s="250"/>
      <c r="J214" s="251"/>
      <c r="K214" s="252"/>
      <c r="L214" s="252"/>
      <c r="M214" s="253" t="s">
        <v>89</v>
      </c>
      <c r="N214" s="253">
        <v>8</v>
      </c>
      <c r="O214" s="254">
        <v>112.41</v>
      </c>
      <c r="P214" s="255"/>
      <c r="R214" s="254">
        <f>N214*O214</f>
        <v>899.28</v>
      </c>
    </row>
    <row r="215" ht="42.6" customHeight="1" spans="1:18">
      <c r="A215" s="188"/>
      <c r="B215" s="191" t="s">
        <v>71</v>
      </c>
      <c r="C215" s="127"/>
      <c r="D215" s="127"/>
      <c r="E215" s="127"/>
      <c r="F215" s="127"/>
      <c r="G215" s="196"/>
      <c r="H215" s="227"/>
      <c r="I215" s="227"/>
      <c r="J215" s="198"/>
      <c r="M215" s="160"/>
      <c r="N215" s="160"/>
      <c r="O215" s="192"/>
      <c r="P215" s="193"/>
      <c r="Q215" s="168"/>
      <c r="R215" s="160"/>
    </row>
    <row r="216" ht="42.6" customHeight="1" spans="1:18">
      <c r="A216" s="188"/>
      <c r="B216" s="213" t="s">
        <v>72</v>
      </c>
      <c r="C216" s="127"/>
      <c r="D216" s="127"/>
      <c r="E216" s="127"/>
      <c r="F216" s="127"/>
      <c r="G216" s="196"/>
      <c r="H216" s="227"/>
      <c r="I216" s="227"/>
      <c r="J216" s="198"/>
      <c r="M216" s="160"/>
      <c r="N216" s="160"/>
      <c r="O216" s="192"/>
      <c r="P216" s="193"/>
      <c r="Q216" s="168"/>
      <c r="R216" s="160"/>
    </row>
    <row r="217" ht="42.6" customHeight="1" spans="1:18">
      <c r="A217" s="188"/>
      <c r="B217" s="256" t="s">
        <v>186</v>
      </c>
      <c r="D217" s="127"/>
      <c r="E217" s="127"/>
      <c r="F217" s="127"/>
      <c r="G217" s="196"/>
      <c r="H217" s="227"/>
      <c r="I217" s="227"/>
      <c r="J217" s="198"/>
      <c r="M217" s="160" t="s">
        <v>21</v>
      </c>
      <c r="N217" s="160"/>
      <c r="O217" s="168">
        <v>425</v>
      </c>
      <c r="P217" s="169"/>
      <c r="Q217" s="168">
        <f>O217</f>
        <v>425</v>
      </c>
      <c r="R217" s="171">
        <f>Q217</f>
        <v>425</v>
      </c>
    </row>
    <row r="218" ht="42.6" customHeight="1" spans="1:18">
      <c r="A218" s="188"/>
      <c r="B218" s="232"/>
      <c r="C218" s="127"/>
      <c r="D218" s="127"/>
      <c r="E218" s="127"/>
      <c r="F218" s="127"/>
      <c r="G218" s="196"/>
      <c r="H218" s="227"/>
      <c r="I218" s="227"/>
      <c r="J218" s="198"/>
      <c r="M218" s="160"/>
      <c r="N218" s="160"/>
      <c r="O218" s="192"/>
      <c r="P218" s="193"/>
      <c r="Q218" s="168"/>
      <c r="R218" s="160"/>
    </row>
    <row r="219" ht="42.6" customHeight="1" spans="1:18">
      <c r="A219" s="188"/>
      <c r="B219" s="232"/>
      <c r="C219" s="127"/>
      <c r="D219" s="127"/>
      <c r="E219" s="127"/>
      <c r="F219" s="127"/>
      <c r="G219" s="196"/>
      <c r="H219" s="227"/>
      <c r="I219" s="227"/>
      <c r="J219" s="198"/>
      <c r="M219" s="160"/>
      <c r="N219" s="160"/>
      <c r="O219" s="192"/>
      <c r="P219" s="193"/>
      <c r="Q219" s="168"/>
      <c r="R219" s="160"/>
    </row>
    <row r="220" ht="42.6" customHeight="1" spans="1:18">
      <c r="A220" s="188"/>
      <c r="B220" s="232"/>
      <c r="C220" s="127"/>
      <c r="D220" s="127"/>
      <c r="E220" s="127"/>
      <c r="F220" s="127"/>
      <c r="G220" s="196"/>
      <c r="H220" s="227"/>
      <c r="I220" s="227"/>
      <c r="J220" s="198"/>
      <c r="M220" s="160"/>
      <c r="N220" s="160"/>
      <c r="O220" s="192"/>
      <c r="P220" s="193"/>
      <c r="Q220" s="168"/>
      <c r="R220" s="160"/>
    </row>
    <row r="221" ht="42.6" customHeight="1" spans="1:18">
      <c r="A221" s="188"/>
      <c r="B221" s="232"/>
      <c r="C221" s="127"/>
      <c r="D221" s="127"/>
      <c r="E221" s="127"/>
      <c r="F221" s="127"/>
      <c r="G221" s="196"/>
      <c r="H221" s="227"/>
      <c r="I221" s="227"/>
      <c r="J221" s="198"/>
      <c r="M221" s="160"/>
      <c r="N221" s="160"/>
      <c r="O221" s="192"/>
      <c r="P221" s="193"/>
      <c r="Q221" s="168"/>
      <c r="R221" s="160"/>
    </row>
    <row r="222" ht="42.6" customHeight="1" spans="1:18">
      <c r="A222" s="188"/>
      <c r="B222" s="127"/>
      <c r="C222" s="127"/>
      <c r="D222" s="127"/>
      <c r="E222" s="127"/>
      <c r="F222" s="127"/>
      <c r="G222" s="196"/>
      <c r="H222" s="227"/>
      <c r="I222" s="227"/>
      <c r="J222" s="198"/>
      <c r="M222" s="160"/>
      <c r="N222" s="160"/>
      <c r="O222" s="192"/>
      <c r="P222" s="193"/>
      <c r="Q222" s="168"/>
      <c r="R222" s="160"/>
    </row>
    <row r="223" ht="42.6" customHeight="1" spans="1:18">
      <c r="A223" s="188"/>
      <c r="B223" s="127"/>
      <c r="C223" s="127"/>
      <c r="D223" s="127"/>
      <c r="E223" s="127"/>
      <c r="F223" s="127"/>
      <c r="G223" s="196"/>
      <c r="H223" s="227"/>
      <c r="I223" s="227"/>
      <c r="J223" s="198"/>
      <c r="M223" s="160"/>
      <c r="N223" s="160"/>
      <c r="O223" s="192"/>
      <c r="P223" s="193"/>
      <c r="Q223" s="168"/>
      <c r="R223" s="160"/>
    </row>
    <row r="224" ht="42.6" customHeight="1" spans="1:18">
      <c r="A224" s="188"/>
      <c r="B224" s="127"/>
      <c r="C224" s="127"/>
      <c r="D224" s="127"/>
      <c r="E224" s="127"/>
      <c r="F224" s="127"/>
      <c r="G224" s="196"/>
      <c r="H224" s="227"/>
      <c r="I224" s="227"/>
      <c r="J224" s="198"/>
      <c r="M224" s="160"/>
      <c r="N224" s="160"/>
      <c r="O224" s="192"/>
      <c r="P224" s="193"/>
      <c r="Q224" s="168"/>
      <c r="R224" s="160"/>
    </row>
    <row r="225" ht="42.6" customHeight="1" spans="1:18">
      <c r="A225" s="188"/>
      <c r="B225" s="127"/>
      <c r="C225" s="127"/>
      <c r="D225" s="127"/>
      <c r="E225" s="127"/>
      <c r="F225" s="127"/>
      <c r="G225" s="196"/>
      <c r="H225" s="227"/>
      <c r="I225" s="227"/>
      <c r="J225" s="198"/>
      <c r="M225" s="160"/>
      <c r="N225" s="160"/>
      <c r="O225" s="192"/>
      <c r="P225" s="193"/>
      <c r="Q225" s="168"/>
      <c r="R225" s="160"/>
    </row>
    <row r="226" ht="42.6" customHeight="1" spans="1:18">
      <c r="A226" s="188"/>
      <c r="B226" s="127"/>
      <c r="C226" s="127"/>
      <c r="D226" s="127"/>
      <c r="E226" s="127"/>
      <c r="F226" s="127"/>
      <c r="G226" s="196"/>
      <c r="H226" s="227"/>
      <c r="I226" s="227"/>
      <c r="J226" s="198"/>
      <c r="M226" s="160"/>
      <c r="N226" s="160"/>
      <c r="O226" s="192"/>
      <c r="P226" s="193"/>
      <c r="Q226" s="168"/>
      <c r="R226" s="160"/>
    </row>
    <row r="227" ht="42.6" customHeight="1" spans="1:18">
      <c r="A227" s="188"/>
      <c r="B227" s="127"/>
      <c r="C227" s="127"/>
      <c r="D227" s="127"/>
      <c r="E227" s="127"/>
      <c r="F227" s="127"/>
      <c r="G227" s="196"/>
      <c r="H227" s="227"/>
      <c r="I227" s="227"/>
      <c r="J227" s="198"/>
      <c r="M227" s="160"/>
      <c r="N227" s="160"/>
      <c r="O227" s="192"/>
      <c r="P227" s="193"/>
      <c r="Q227" s="168"/>
      <c r="R227" s="160"/>
    </row>
    <row r="228" ht="42.6" customHeight="1" spans="1:18">
      <c r="A228" s="188"/>
      <c r="B228" s="127"/>
      <c r="C228" s="127"/>
      <c r="D228" s="127"/>
      <c r="E228" s="127"/>
      <c r="F228" s="127"/>
      <c r="G228" s="196"/>
      <c r="H228" s="227"/>
      <c r="I228" s="227"/>
      <c r="J228" s="198"/>
      <c r="M228" s="160"/>
      <c r="N228" s="160"/>
      <c r="O228" s="192"/>
      <c r="P228" s="193"/>
      <c r="Q228" s="168"/>
      <c r="R228" s="160"/>
    </row>
    <row r="229" ht="42.6" customHeight="1" spans="1:18">
      <c r="A229" s="188"/>
      <c r="B229" s="127"/>
      <c r="C229" s="127"/>
      <c r="D229" s="127"/>
      <c r="E229" s="127"/>
      <c r="F229" s="127"/>
      <c r="G229" s="196"/>
      <c r="H229" s="227"/>
      <c r="I229" s="227"/>
      <c r="J229" s="198"/>
      <c r="M229" s="160"/>
      <c r="N229" s="160"/>
      <c r="O229" s="192"/>
      <c r="P229" s="193"/>
      <c r="Q229" s="168"/>
      <c r="R229" s="160"/>
    </row>
    <row r="230" ht="42.6" customHeight="1" spans="1:18">
      <c r="A230" s="188"/>
      <c r="B230" s="127"/>
      <c r="C230" s="127"/>
      <c r="D230" s="127"/>
      <c r="E230" s="127"/>
      <c r="F230" s="127"/>
      <c r="G230" s="196"/>
      <c r="H230" s="227"/>
      <c r="I230" s="227"/>
      <c r="J230" s="198"/>
      <c r="M230" s="160"/>
      <c r="N230" s="160"/>
      <c r="O230" s="192"/>
      <c r="P230" s="193"/>
      <c r="Q230" s="168"/>
      <c r="R230" s="160"/>
    </row>
    <row r="231" ht="42.6" customHeight="1" spans="1:18">
      <c r="A231" s="188"/>
      <c r="B231" s="127"/>
      <c r="C231" s="127"/>
      <c r="D231" s="127"/>
      <c r="E231" s="127"/>
      <c r="F231" s="127"/>
      <c r="G231" s="196"/>
      <c r="H231" s="227"/>
      <c r="I231" s="227"/>
      <c r="J231" s="198"/>
      <c r="M231" s="160"/>
      <c r="N231" s="160"/>
      <c r="O231" s="192"/>
      <c r="P231" s="193"/>
      <c r="Q231" s="168"/>
      <c r="R231" s="160"/>
    </row>
    <row r="232" ht="42.6" customHeight="1" spans="1:18">
      <c r="A232" s="188"/>
      <c r="B232" s="127"/>
      <c r="C232" s="127"/>
      <c r="D232" s="127"/>
      <c r="E232" s="127"/>
      <c r="F232" s="127"/>
      <c r="G232" s="196"/>
      <c r="H232" s="227"/>
      <c r="I232" s="227"/>
      <c r="J232" s="198"/>
      <c r="M232" s="160"/>
      <c r="N232" s="160"/>
      <c r="O232" s="192"/>
      <c r="P232" s="193"/>
      <c r="Q232" s="168"/>
      <c r="R232" s="160"/>
    </row>
    <row r="233" ht="42.6" customHeight="1" spans="1:18">
      <c r="A233" s="188"/>
      <c r="B233" s="127"/>
      <c r="C233" s="127"/>
      <c r="D233" s="127"/>
      <c r="E233" s="127"/>
      <c r="F233" s="127"/>
      <c r="G233" s="196"/>
      <c r="H233" s="227"/>
      <c r="I233" s="227"/>
      <c r="J233" s="198"/>
      <c r="M233" s="160"/>
      <c r="N233" s="160"/>
      <c r="O233" s="192"/>
      <c r="P233" s="193"/>
      <c r="Q233" s="168"/>
      <c r="R233" s="160"/>
    </row>
    <row r="234" ht="42.6" customHeight="1" spans="1:18">
      <c r="A234" s="188"/>
      <c r="B234" s="127"/>
      <c r="C234" s="127"/>
      <c r="D234" s="127"/>
      <c r="E234" s="127"/>
      <c r="F234" s="127"/>
      <c r="G234" s="196"/>
      <c r="H234" s="227"/>
      <c r="I234" s="227"/>
      <c r="J234" s="198"/>
      <c r="M234" s="160"/>
      <c r="N234" s="160"/>
      <c r="O234" s="192"/>
      <c r="P234" s="193"/>
      <c r="Q234" s="168"/>
      <c r="R234" s="160"/>
    </row>
    <row r="235" ht="42.6" customHeight="1" spans="1:18">
      <c r="A235" s="188"/>
      <c r="B235" s="127"/>
      <c r="C235" s="127"/>
      <c r="D235" s="127"/>
      <c r="E235" s="127"/>
      <c r="F235" s="127"/>
      <c r="G235" s="196"/>
      <c r="H235" s="227"/>
      <c r="I235" s="227"/>
      <c r="J235" s="198"/>
      <c r="M235" s="160"/>
      <c r="N235" s="160"/>
      <c r="O235" s="192"/>
      <c r="P235" s="193"/>
      <c r="Q235" s="168"/>
      <c r="R235" s="160"/>
    </row>
    <row r="236" ht="42.6" customHeight="1" spans="1:18">
      <c r="A236" s="188"/>
      <c r="B236" s="127"/>
      <c r="C236" s="127"/>
      <c r="D236" s="127"/>
      <c r="E236" s="127"/>
      <c r="F236" s="127"/>
      <c r="G236" s="196"/>
      <c r="H236" s="227"/>
      <c r="I236" s="227"/>
      <c r="J236" s="198"/>
      <c r="M236" s="160"/>
      <c r="N236" s="160"/>
      <c r="O236" s="192"/>
      <c r="P236" s="193"/>
      <c r="Q236" s="168"/>
      <c r="R236" s="160"/>
    </row>
    <row r="237" ht="42.6" customHeight="1" spans="1:18">
      <c r="A237" s="188"/>
      <c r="B237" s="127"/>
      <c r="C237" s="127"/>
      <c r="D237" s="127"/>
      <c r="E237" s="127"/>
      <c r="F237" s="127"/>
      <c r="G237" s="196"/>
      <c r="H237" s="227"/>
      <c r="I237" s="227"/>
      <c r="J237" s="198"/>
      <c r="M237" s="160"/>
      <c r="N237" s="160"/>
      <c r="O237" s="192"/>
      <c r="P237" s="193"/>
      <c r="Q237" s="168"/>
      <c r="R237" s="160"/>
    </row>
    <row r="238" ht="42.6" customHeight="1" spans="1:18">
      <c r="A238" s="188"/>
      <c r="B238" s="127"/>
      <c r="C238" s="127"/>
      <c r="D238" s="127"/>
      <c r="E238" s="127"/>
      <c r="F238" s="127"/>
      <c r="G238" s="196"/>
      <c r="H238" s="227"/>
      <c r="I238" s="227"/>
      <c r="J238" s="198"/>
      <c r="M238" s="160"/>
      <c r="N238" s="160"/>
      <c r="O238" s="192"/>
      <c r="P238" s="193"/>
      <c r="Q238" s="168"/>
      <c r="R238" s="160"/>
    </row>
    <row r="239" ht="42.6" customHeight="1" spans="1:18">
      <c r="A239" s="137" t="s">
        <v>35</v>
      </c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9"/>
      <c r="Q239" s="176">
        <f>SUM(Q181:Q238)</f>
        <v>6364.454</v>
      </c>
      <c r="R239" s="177">
        <f>SUM(R183:R238)</f>
        <v>6576.034</v>
      </c>
    </row>
    <row r="240" ht="60" customHeight="1" spans="1:18">
      <c r="A240" s="140" t="s">
        <v>5</v>
      </c>
      <c r="B240" s="141" t="s">
        <v>6</v>
      </c>
      <c r="C240" s="142"/>
      <c r="D240" s="142"/>
      <c r="E240" s="142"/>
      <c r="F240" s="142"/>
      <c r="G240" s="142"/>
      <c r="H240" s="142"/>
      <c r="I240" s="142"/>
      <c r="J240" s="142"/>
      <c r="K240" s="142"/>
      <c r="L240" s="178"/>
      <c r="M240" s="179" t="s">
        <v>7</v>
      </c>
      <c r="N240" s="179" t="s">
        <v>8</v>
      </c>
      <c r="O240" s="180" t="s">
        <v>9</v>
      </c>
      <c r="P240" s="181"/>
      <c r="Q240" s="179" t="s">
        <v>10</v>
      </c>
      <c r="R240" s="182" t="s">
        <v>10</v>
      </c>
    </row>
    <row r="241" ht="42.6" customHeight="1" spans="1:18">
      <c r="A241" s="149"/>
      <c r="B241" s="183" t="s">
        <v>187</v>
      </c>
      <c r="C241" s="184"/>
      <c r="D241" s="184"/>
      <c r="E241" s="184"/>
      <c r="F241" s="184"/>
      <c r="G241" s="184"/>
      <c r="H241" s="184"/>
      <c r="I241" s="184"/>
      <c r="J241" s="184"/>
      <c r="K241" s="185"/>
      <c r="M241" s="151"/>
      <c r="N241" s="151"/>
      <c r="O241" s="152"/>
      <c r="P241" s="153"/>
      <c r="Q241" s="152"/>
      <c r="R241" s="160"/>
    </row>
    <row r="242" ht="42.6" customHeight="1" spans="1:18">
      <c r="A242" s="149"/>
      <c r="B242" s="155" t="s">
        <v>188</v>
      </c>
      <c r="C242" s="156"/>
      <c r="D242" s="156"/>
      <c r="E242" s="156"/>
      <c r="F242" s="156"/>
      <c r="G242" s="156"/>
      <c r="H242" s="156"/>
      <c r="I242" s="156"/>
      <c r="J242" s="156"/>
      <c r="K242" s="156"/>
      <c r="L242" s="186"/>
      <c r="M242" s="157"/>
      <c r="N242" s="157"/>
      <c r="O242" s="158"/>
      <c r="P242" s="159"/>
      <c r="Q242" s="158"/>
      <c r="R242" s="160"/>
    </row>
    <row r="243" ht="42.6" customHeight="1" spans="1:18">
      <c r="A243" s="149"/>
      <c r="B243" s="187"/>
      <c r="M243" s="157"/>
      <c r="N243" s="157"/>
      <c r="O243" s="158"/>
      <c r="P243" s="159"/>
      <c r="Q243" s="158"/>
      <c r="R243" s="160"/>
    </row>
    <row r="244" ht="42.6" customHeight="1" spans="1:18">
      <c r="A244" s="164" t="s">
        <v>112</v>
      </c>
      <c r="B244" s="233" t="s">
        <v>189</v>
      </c>
      <c r="C244" s="222"/>
      <c r="D244" s="222"/>
      <c r="E244" s="222"/>
      <c r="F244" s="222"/>
      <c r="G244" s="222"/>
      <c r="H244" s="222"/>
      <c r="I244" s="222"/>
      <c r="J244" s="222"/>
      <c r="M244" s="160"/>
      <c r="N244" s="160"/>
      <c r="O244" s="192"/>
      <c r="P244" s="193"/>
      <c r="Q244" s="192"/>
      <c r="R244" s="160"/>
    </row>
    <row r="245" ht="42.6" customHeight="1" spans="1:18">
      <c r="A245" s="164"/>
      <c r="B245" s="214" t="s">
        <v>190</v>
      </c>
      <c r="M245" s="157"/>
      <c r="N245" s="160"/>
      <c r="O245" s="192"/>
      <c r="P245" s="193"/>
      <c r="Q245" s="192"/>
      <c r="R245" s="160"/>
    </row>
    <row r="246" ht="42.6" customHeight="1" spans="1:18">
      <c r="A246" s="164"/>
      <c r="B246" s="214" t="s">
        <v>191</v>
      </c>
      <c r="C246" s="127"/>
      <c r="D246" s="127"/>
      <c r="E246" s="219"/>
      <c r="F246" s="127"/>
      <c r="G246" s="220"/>
      <c r="J246" s="163"/>
      <c r="M246" s="160"/>
      <c r="N246" s="221"/>
      <c r="O246" s="168"/>
      <c r="P246" s="169"/>
      <c r="Q246" s="170"/>
      <c r="R246" s="160"/>
    </row>
    <row r="247" ht="42.6" customHeight="1" spans="1:18">
      <c r="A247" s="164"/>
      <c r="B247" s="214" t="s">
        <v>192</v>
      </c>
      <c r="C247" s="127"/>
      <c r="D247" s="127"/>
      <c r="E247" s="127"/>
      <c r="F247" s="127"/>
      <c r="G247" s="196"/>
      <c r="J247" s="198"/>
      <c r="M247" s="160"/>
      <c r="N247" s="160"/>
      <c r="O247" s="168"/>
      <c r="P247" s="169"/>
      <c r="Q247" s="168"/>
      <c r="R247" s="160"/>
    </row>
    <row r="248" ht="42.6" customHeight="1" spans="1:18">
      <c r="A248" s="164"/>
      <c r="B248" s="214" t="s">
        <v>193</v>
      </c>
      <c r="C248" s="127"/>
      <c r="D248" s="127"/>
      <c r="E248" s="127"/>
      <c r="F248" s="127"/>
      <c r="G248" s="196"/>
      <c r="H248" s="227"/>
      <c r="I248" s="227"/>
      <c r="J248" s="198"/>
      <c r="M248" s="160"/>
      <c r="N248" s="160"/>
      <c r="O248" s="168"/>
      <c r="P248" s="169"/>
      <c r="Q248" s="168"/>
      <c r="R248" s="160"/>
    </row>
    <row r="249" ht="42.6" customHeight="1" spans="1:18">
      <c r="A249" s="164"/>
      <c r="B249" s="214" t="s">
        <v>194</v>
      </c>
      <c r="C249" s="127"/>
      <c r="D249" s="127"/>
      <c r="E249" s="127"/>
      <c r="F249" s="127"/>
      <c r="G249" s="196"/>
      <c r="H249" s="227"/>
      <c r="I249" s="227"/>
      <c r="J249" s="198"/>
      <c r="M249" s="160"/>
      <c r="N249" s="160"/>
      <c r="O249" s="168"/>
      <c r="P249" s="169"/>
      <c r="Q249" s="168"/>
      <c r="R249" s="160"/>
    </row>
    <row r="250" ht="42.6" customHeight="1" spans="1:18">
      <c r="A250" s="175"/>
      <c r="B250" s="214" t="s">
        <v>195</v>
      </c>
      <c r="C250" s="127"/>
      <c r="D250" s="127"/>
      <c r="E250" s="127"/>
      <c r="F250" s="127"/>
      <c r="G250" s="196"/>
      <c r="H250" s="227"/>
      <c r="I250" s="227"/>
      <c r="J250" s="198"/>
      <c r="M250" s="160"/>
      <c r="N250" s="160"/>
      <c r="O250" s="168"/>
      <c r="P250" s="169"/>
      <c r="Q250" s="168"/>
      <c r="R250" s="160"/>
    </row>
    <row r="251" ht="42.6" customHeight="1" spans="1:18">
      <c r="A251" s="175"/>
      <c r="B251" s="214" t="s">
        <v>196</v>
      </c>
      <c r="C251" s="127"/>
      <c r="D251" s="127"/>
      <c r="E251" s="127"/>
      <c r="F251" s="127"/>
      <c r="G251" s="196"/>
      <c r="H251" s="227"/>
      <c r="I251" s="227"/>
      <c r="J251" s="198"/>
      <c r="M251" s="160"/>
      <c r="N251" s="160"/>
      <c r="O251" s="168"/>
      <c r="P251" s="169"/>
      <c r="Q251" s="168"/>
      <c r="R251" s="160"/>
    </row>
    <row r="252" ht="42.6" customHeight="1" spans="1:18">
      <c r="A252" s="164"/>
      <c r="B252" s="214" t="s">
        <v>197</v>
      </c>
      <c r="C252" s="127"/>
      <c r="D252" s="127"/>
      <c r="E252" s="127"/>
      <c r="F252" s="127"/>
      <c r="G252" s="196"/>
      <c r="H252" s="227"/>
      <c r="I252" s="227"/>
      <c r="J252" s="198"/>
      <c r="M252" s="160"/>
      <c r="N252" s="160"/>
      <c r="O252" s="192"/>
      <c r="P252" s="193"/>
      <c r="Q252" s="168"/>
      <c r="R252" s="160"/>
    </row>
    <row r="253" ht="42.6" customHeight="1" spans="1:18">
      <c r="A253" s="188"/>
      <c r="B253" s="214" t="s">
        <v>198</v>
      </c>
      <c r="C253" s="127"/>
      <c r="D253" s="127"/>
      <c r="E253" s="127"/>
      <c r="F253" s="127"/>
      <c r="G253" s="196"/>
      <c r="H253" s="227"/>
      <c r="I253" s="227"/>
      <c r="J253" s="198"/>
      <c r="M253" s="160"/>
      <c r="N253" s="160"/>
      <c r="O253" s="192"/>
      <c r="P253" s="193"/>
      <c r="Q253" s="168"/>
      <c r="R253" s="160"/>
    </row>
    <row r="254" ht="42.6" customHeight="1" spans="1:18">
      <c r="A254" s="188"/>
      <c r="B254" s="214" t="s">
        <v>199</v>
      </c>
      <c r="C254" s="127"/>
      <c r="D254" s="127"/>
      <c r="E254" s="127"/>
      <c r="F254" s="127"/>
      <c r="G254" s="196"/>
      <c r="H254" s="227"/>
      <c r="I254" s="227"/>
      <c r="J254" s="198"/>
      <c r="M254" s="160"/>
      <c r="N254" s="160"/>
      <c r="O254" s="192"/>
      <c r="P254" s="193"/>
      <c r="Q254" s="168"/>
      <c r="R254" s="160"/>
    </row>
    <row r="255" ht="42.6" customHeight="1" spans="1:18">
      <c r="A255" s="188"/>
      <c r="B255" s="214" t="s">
        <v>200</v>
      </c>
      <c r="C255" s="127"/>
      <c r="D255" s="127"/>
      <c r="E255" s="127"/>
      <c r="F255" s="127"/>
      <c r="G255" s="196"/>
      <c r="H255" s="227"/>
      <c r="I255" s="227"/>
      <c r="J255" s="198"/>
      <c r="M255" s="160"/>
      <c r="N255" s="160"/>
      <c r="O255" s="192"/>
      <c r="P255" s="193"/>
      <c r="Q255" s="168"/>
      <c r="R255" s="160"/>
    </row>
    <row r="256" ht="42.6" customHeight="1" spans="1:18">
      <c r="A256" s="188"/>
      <c r="B256" s="157" t="s">
        <v>201</v>
      </c>
      <c r="C256" s="127"/>
      <c r="D256" s="127"/>
      <c r="E256" s="127"/>
      <c r="F256" s="127"/>
      <c r="G256" s="196"/>
      <c r="H256" s="227"/>
      <c r="I256" s="227"/>
      <c r="J256" s="198"/>
      <c r="M256" s="160"/>
      <c r="N256" s="160"/>
      <c r="O256" s="192"/>
      <c r="P256" s="193"/>
      <c r="Q256" s="168"/>
      <c r="R256" s="160"/>
    </row>
    <row r="257" ht="42.6" customHeight="1" spans="1:18">
      <c r="A257" s="188"/>
      <c r="B257" s="157" t="s">
        <v>202</v>
      </c>
      <c r="C257" s="127"/>
      <c r="D257" s="127"/>
      <c r="E257" s="127"/>
      <c r="F257" s="127"/>
      <c r="G257" s="196"/>
      <c r="H257" s="227"/>
      <c r="I257" s="227"/>
      <c r="J257" s="198"/>
      <c r="M257" s="160"/>
      <c r="N257" s="160"/>
      <c r="O257" s="192"/>
      <c r="P257" s="193"/>
      <c r="Q257" s="168"/>
      <c r="R257" s="160"/>
    </row>
    <row r="258" ht="42.6" customHeight="1" spans="1:18">
      <c r="A258" s="164"/>
      <c r="B258" s="214" t="s">
        <v>203</v>
      </c>
      <c r="C258" s="127"/>
      <c r="D258" s="127"/>
      <c r="E258" s="127"/>
      <c r="F258" s="127"/>
      <c r="G258" s="196"/>
      <c r="H258" s="227"/>
      <c r="I258" s="227"/>
      <c r="J258" s="198"/>
      <c r="M258" s="160"/>
      <c r="N258" s="160"/>
      <c r="O258" s="192"/>
      <c r="P258" s="193"/>
      <c r="Q258" s="168"/>
      <c r="R258" s="160"/>
    </row>
    <row r="259" ht="42.6" customHeight="1" spans="1:18">
      <c r="A259" s="188"/>
      <c r="B259" s="214" t="s">
        <v>204</v>
      </c>
      <c r="C259" s="127"/>
      <c r="D259" s="127"/>
      <c r="E259" s="127"/>
      <c r="F259" s="127"/>
      <c r="G259" s="196"/>
      <c r="H259" s="227"/>
      <c r="I259" s="227"/>
      <c r="J259" s="198"/>
      <c r="M259" s="160"/>
      <c r="N259" s="160"/>
      <c r="O259" s="192"/>
      <c r="P259" s="193"/>
      <c r="Q259" s="168"/>
      <c r="R259" s="160"/>
    </row>
    <row r="260" ht="42" customHeight="1" spans="1:18">
      <c r="A260" s="188"/>
      <c r="B260" s="214" t="s">
        <v>205</v>
      </c>
      <c r="C260" s="127"/>
      <c r="D260" s="127"/>
      <c r="E260" s="127"/>
      <c r="F260" s="127"/>
      <c r="G260" s="196"/>
      <c r="H260" s="227"/>
      <c r="I260" s="227"/>
      <c r="J260" s="198"/>
      <c r="M260" s="160"/>
      <c r="N260" s="160"/>
      <c r="O260" s="192"/>
      <c r="P260" s="193"/>
      <c r="Q260" s="168"/>
      <c r="R260" s="160"/>
    </row>
    <row r="261" ht="42.6" customHeight="1" spans="1:18">
      <c r="A261" s="188"/>
      <c r="B261" s="214" t="s">
        <v>206</v>
      </c>
      <c r="C261" s="127"/>
      <c r="D261" s="127"/>
      <c r="E261" s="127"/>
      <c r="F261" s="127"/>
      <c r="G261" s="196"/>
      <c r="H261" s="227"/>
      <c r="I261" s="227"/>
      <c r="J261" s="198"/>
      <c r="M261" s="160"/>
      <c r="N261" s="160"/>
      <c r="O261" s="192"/>
      <c r="P261" s="193"/>
      <c r="Q261" s="168"/>
      <c r="R261" s="160"/>
    </row>
    <row r="262" ht="42.6" customHeight="1" spans="1:18">
      <c r="A262" s="188"/>
      <c r="B262" s="214" t="s">
        <v>207</v>
      </c>
      <c r="C262" s="127"/>
      <c r="D262" s="127"/>
      <c r="E262" s="127"/>
      <c r="F262" s="127"/>
      <c r="G262" s="196"/>
      <c r="H262" s="227"/>
      <c r="I262" s="227"/>
      <c r="J262" s="198"/>
      <c r="M262" s="160"/>
      <c r="N262" s="160"/>
      <c r="O262" s="192"/>
      <c r="P262" s="193"/>
      <c r="Q262" s="168"/>
      <c r="R262" s="160"/>
    </row>
    <row r="263" ht="42.6" customHeight="1" spans="1:18">
      <c r="A263" s="188"/>
      <c r="B263" s="214" t="s">
        <v>208</v>
      </c>
      <c r="C263" s="127"/>
      <c r="D263" s="127"/>
      <c r="E263" s="127"/>
      <c r="F263" s="127"/>
      <c r="G263" s="196"/>
      <c r="H263" s="227"/>
      <c r="I263" s="227"/>
      <c r="J263" s="198"/>
      <c r="M263" s="160"/>
      <c r="N263" s="160"/>
      <c r="O263" s="192"/>
      <c r="P263" s="193"/>
      <c r="Q263" s="168"/>
      <c r="R263" s="160"/>
    </row>
    <row r="264" ht="42.6" customHeight="1" spans="1:18">
      <c r="A264" s="188"/>
      <c r="B264" s="214" t="s">
        <v>209</v>
      </c>
      <c r="C264" s="127"/>
      <c r="D264" s="127"/>
      <c r="E264" s="127"/>
      <c r="F264" s="127"/>
      <c r="G264" s="196"/>
      <c r="H264" s="227"/>
      <c r="I264" s="227"/>
      <c r="J264" s="198"/>
      <c r="M264" s="160"/>
      <c r="N264" s="160"/>
      <c r="O264" s="192"/>
      <c r="P264" s="193"/>
      <c r="Q264" s="168"/>
      <c r="R264" s="160"/>
    </row>
    <row r="265" ht="42.6" customHeight="1" spans="1:18">
      <c r="A265" s="188"/>
      <c r="B265" s="214" t="s">
        <v>210</v>
      </c>
      <c r="C265" s="127"/>
      <c r="D265" s="127"/>
      <c r="E265" s="127"/>
      <c r="F265" s="127"/>
      <c r="G265" s="196"/>
      <c r="H265" s="227"/>
      <c r="I265" s="227"/>
      <c r="J265" s="198"/>
      <c r="M265" s="160"/>
      <c r="N265" s="160"/>
      <c r="O265" s="192"/>
      <c r="P265" s="193"/>
      <c r="Q265" s="168"/>
      <c r="R265" s="160"/>
    </row>
    <row r="266" ht="42.6" customHeight="1" spans="1:18">
      <c r="A266" s="188"/>
      <c r="B266" s="214" t="s">
        <v>211</v>
      </c>
      <c r="C266" s="127"/>
      <c r="D266" s="127"/>
      <c r="E266" s="127"/>
      <c r="F266" s="127"/>
      <c r="G266" s="196"/>
      <c r="H266" s="227"/>
      <c r="I266" s="227"/>
      <c r="J266" s="198"/>
      <c r="M266" s="160"/>
      <c r="N266" s="160"/>
      <c r="O266" s="192"/>
      <c r="P266" s="193"/>
      <c r="Q266" s="168"/>
      <c r="R266" s="160"/>
    </row>
    <row r="267" ht="42.6" customHeight="1" spans="1:18">
      <c r="A267" s="188"/>
      <c r="B267" s="257" t="s">
        <v>188</v>
      </c>
      <c r="D267" s="127"/>
      <c r="E267" s="127"/>
      <c r="F267" s="127"/>
      <c r="G267" s="196"/>
      <c r="H267" s="227"/>
      <c r="I267" s="227"/>
      <c r="J267" s="198"/>
      <c r="M267" s="160" t="s">
        <v>89</v>
      </c>
      <c r="N267" s="160">
        <v>1</v>
      </c>
      <c r="O267" s="192">
        <v>591.39</v>
      </c>
      <c r="P267" s="193"/>
      <c r="Q267" s="168">
        <f>N267*O267</f>
        <v>591.39</v>
      </c>
      <c r="R267" s="171">
        <f t="shared" ref="R267:R287" si="3">Q267</f>
        <v>591.39</v>
      </c>
    </row>
    <row r="268" ht="42.6" customHeight="1" spans="1:18">
      <c r="A268" s="188"/>
      <c r="B268" s="257" t="s">
        <v>212</v>
      </c>
      <c r="D268" s="127"/>
      <c r="E268" s="127"/>
      <c r="F268" s="127"/>
      <c r="G268" s="196"/>
      <c r="H268" s="227"/>
      <c r="I268" s="227"/>
      <c r="J268" s="198"/>
      <c r="M268" s="160" t="s">
        <v>89</v>
      </c>
      <c r="N268" s="160">
        <v>1</v>
      </c>
      <c r="O268" s="192">
        <v>591.39</v>
      </c>
      <c r="P268" s="193"/>
      <c r="Q268" s="168">
        <f>O268*N268</f>
        <v>591.39</v>
      </c>
      <c r="R268" s="171">
        <f t="shared" si="3"/>
        <v>591.39</v>
      </c>
    </row>
    <row r="269" ht="42.6" customHeight="1" spans="1:18">
      <c r="A269" s="188"/>
      <c r="B269" s="127"/>
      <c r="C269" s="127"/>
      <c r="D269" s="127"/>
      <c r="E269" s="127"/>
      <c r="F269" s="127"/>
      <c r="G269" s="196"/>
      <c r="H269" s="240"/>
      <c r="I269" s="240"/>
      <c r="J269" s="222"/>
      <c r="K269" s="225"/>
      <c r="M269" s="160"/>
      <c r="N269" s="160"/>
      <c r="O269" s="168"/>
      <c r="P269" s="169"/>
      <c r="Q269" s="168"/>
      <c r="R269" s="160"/>
    </row>
    <row r="270" ht="42.6" customHeight="1" spans="1:18">
      <c r="A270" s="188" t="s">
        <v>122</v>
      </c>
      <c r="B270" s="190" t="s">
        <v>213</v>
      </c>
      <c r="C270" s="127"/>
      <c r="D270" s="127"/>
      <c r="E270" s="127"/>
      <c r="F270" s="127"/>
      <c r="G270" s="196"/>
      <c r="H270" s="227"/>
      <c r="I270" s="227"/>
      <c r="J270" s="198"/>
      <c r="M270" s="160"/>
      <c r="N270" s="160"/>
      <c r="O270" s="192"/>
      <c r="P270" s="193"/>
      <c r="Q270" s="168"/>
      <c r="R270" s="160"/>
    </row>
    <row r="271" ht="42.6" customHeight="1" spans="1:18">
      <c r="A271" s="188"/>
      <c r="B271" s="214" t="s">
        <v>214</v>
      </c>
      <c r="C271" s="127"/>
      <c r="D271" s="127"/>
      <c r="E271" s="127"/>
      <c r="F271" s="127"/>
      <c r="G271" s="196"/>
      <c r="H271" s="227"/>
      <c r="I271" s="227"/>
      <c r="J271" s="198"/>
      <c r="M271" s="160"/>
      <c r="N271" s="160"/>
      <c r="O271" s="192"/>
      <c r="P271" s="193"/>
      <c r="Q271" s="168"/>
      <c r="R271" s="160"/>
    </row>
    <row r="272" ht="42.6" customHeight="1" spans="1:18">
      <c r="A272" s="188"/>
      <c r="B272" s="214" t="s">
        <v>215</v>
      </c>
      <c r="C272" s="127"/>
      <c r="D272" s="127"/>
      <c r="E272" s="127"/>
      <c r="F272" s="127"/>
      <c r="G272" s="196"/>
      <c r="H272" s="227"/>
      <c r="I272" s="227"/>
      <c r="J272" s="198"/>
      <c r="M272" s="160"/>
      <c r="N272" s="160"/>
      <c r="O272" s="192"/>
      <c r="P272" s="193"/>
      <c r="Q272" s="168"/>
      <c r="R272" s="160"/>
    </row>
    <row r="273" ht="42.6" customHeight="1" spans="1:18">
      <c r="A273" s="188"/>
      <c r="B273" s="214" t="s">
        <v>216</v>
      </c>
      <c r="C273" s="127"/>
      <c r="D273" s="127"/>
      <c r="E273" s="127"/>
      <c r="F273" s="127"/>
      <c r="G273" s="196"/>
      <c r="H273" s="227"/>
      <c r="I273" s="227"/>
      <c r="J273" s="198"/>
      <c r="M273" s="160"/>
      <c r="N273" s="160"/>
      <c r="O273" s="168"/>
      <c r="P273" s="169"/>
      <c r="Q273" s="168"/>
      <c r="R273" s="160"/>
    </row>
    <row r="274" ht="42.6" customHeight="1" spans="1:18">
      <c r="A274" s="188"/>
      <c r="B274" s="214" t="s">
        <v>217</v>
      </c>
      <c r="C274" s="127"/>
      <c r="D274" s="127"/>
      <c r="E274" s="127"/>
      <c r="F274" s="127"/>
      <c r="G274" s="196"/>
      <c r="H274" s="227"/>
      <c r="I274" s="227"/>
      <c r="J274" s="198"/>
      <c r="M274" s="160"/>
      <c r="N274" s="160"/>
      <c r="O274" s="168"/>
      <c r="P274" s="169"/>
      <c r="Q274" s="168"/>
      <c r="R274" s="160"/>
    </row>
    <row r="275" ht="42.6" customHeight="1" spans="1:18">
      <c r="A275" s="188"/>
      <c r="B275" s="214" t="s">
        <v>218</v>
      </c>
      <c r="C275" s="127"/>
      <c r="D275" s="127"/>
      <c r="E275" s="127"/>
      <c r="F275" s="127"/>
      <c r="G275" s="196"/>
      <c r="H275" s="227"/>
      <c r="I275" s="227"/>
      <c r="J275" s="198"/>
      <c r="M275" s="160"/>
      <c r="N275" s="160"/>
      <c r="O275" s="192"/>
      <c r="P275" s="193"/>
      <c r="Q275" s="168"/>
      <c r="R275" s="160"/>
    </row>
    <row r="276" ht="42.6" customHeight="1" spans="1:18">
      <c r="A276" s="188"/>
      <c r="B276" s="157" t="s">
        <v>219</v>
      </c>
      <c r="C276" s="127"/>
      <c r="D276" s="127"/>
      <c r="E276" s="127"/>
      <c r="F276" s="127"/>
      <c r="G276" s="196"/>
      <c r="H276" s="227"/>
      <c r="I276" s="227"/>
      <c r="J276" s="198"/>
      <c r="M276" s="160"/>
      <c r="N276" s="160"/>
      <c r="O276" s="192"/>
      <c r="P276" s="193"/>
      <c r="Q276" s="168"/>
      <c r="R276" s="160"/>
    </row>
    <row r="277" ht="42.6" customHeight="1" spans="1:18">
      <c r="A277" s="188"/>
      <c r="B277" s="157" t="s">
        <v>201</v>
      </c>
      <c r="C277" s="127"/>
      <c r="D277" s="127"/>
      <c r="E277" s="127"/>
      <c r="F277" s="127"/>
      <c r="G277" s="196"/>
      <c r="H277" s="227"/>
      <c r="I277" s="227"/>
      <c r="J277" s="198"/>
      <c r="M277" s="160"/>
      <c r="N277" s="160"/>
      <c r="O277" s="192"/>
      <c r="P277" s="193"/>
      <c r="Q277" s="168"/>
      <c r="R277" s="160"/>
    </row>
    <row r="278" ht="42.6" customHeight="1" spans="1:18">
      <c r="A278" s="188"/>
      <c r="B278" s="157" t="s">
        <v>202</v>
      </c>
      <c r="C278" s="127"/>
      <c r="D278" s="127"/>
      <c r="E278" s="127"/>
      <c r="F278" s="127"/>
      <c r="G278" s="196"/>
      <c r="H278" s="227"/>
      <c r="I278" s="227"/>
      <c r="J278" s="198"/>
      <c r="M278" s="160"/>
      <c r="N278" s="160"/>
      <c r="O278" s="192"/>
      <c r="P278" s="193"/>
      <c r="Q278" s="168"/>
      <c r="R278" s="160"/>
    </row>
    <row r="279" ht="42.6" customHeight="1" spans="1:18">
      <c r="A279" s="188"/>
      <c r="B279" s="214" t="s">
        <v>220</v>
      </c>
      <c r="C279" s="127"/>
      <c r="D279" s="127"/>
      <c r="E279" s="127"/>
      <c r="F279" s="127"/>
      <c r="G279" s="196"/>
      <c r="H279" s="227"/>
      <c r="I279" s="227"/>
      <c r="J279" s="198"/>
      <c r="M279" s="160"/>
      <c r="N279" s="160"/>
      <c r="O279" s="192"/>
      <c r="P279" s="193"/>
      <c r="Q279" s="168"/>
      <c r="R279" s="160"/>
    </row>
    <row r="280" ht="42.6" customHeight="1" spans="1:18">
      <c r="A280" s="188"/>
      <c r="B280" s="214" t="s">
        <v>221</v>
      </c>
      <c r="C280" s="127"/>
      <c r="D280" s="127"/>
      <c r="E280" s="127"/>
      <c r="F280" s="127"/>
      <c r="G280" s="196"/>
      <c r="H280" s="227"/>
      <c r="I280" s="227"/>
      <c r="J280" s="198"/>
      <c r="M280" s="160"/>
      <c r="N280" s="160"/>
      <c r="O280" s="192"/>
      <c r="P280" s="193"/>
      <c r="Q280" s="168"/>
      <c r="R280" s="160"/>
    </row>
    <row r="281" ht="42.6" customHeight="1" spans="1:18">
      <c r="A281" s="188"/>
      <c r="B281" s="214" t="s">
        <v>222</v>
      </c>
      <c r="C281" s="127"/>
      <c r="D281" s="127"/>
      <c r="E281" s="127"/>
      <c r="F281" s="127"/>
      <c r="G281" s="196"/>
      <c r="H281" s="227"/>
      <c r="I281" s="227"/>
      <c r="J281" s="198"/>
      <c r="M281" s="160"/>
      <c r="N281" s="160"/>
      <c r="O281" s="192"/>
      <c r="P281" s="193"/>
      <c r="Q281" s="168"/>
      <c r="R281" s="160"/>
    </row>
    <row r="282" ht="42.6" customHeight="1" spans="1:18">
      <c r="A282" s="188"/>
      <c r="B282" s="214" t="s">
        <v>223</v>
      </c>
      <c r="C282" s="127"/>
      <c r="D282" s="127"/>
      <c r="E282" s="127"/>
      <c r="F282" s="127"/>
      <c r="G282" s="196"/>
      <c r="H282" s="227"/>
      <c r="I282" s="227"/>
      <c r="J282" s="198"/>
      <c r="M282" s="160"/>
      <c r="N282" s="160"/>
      <c r="O282" s="192"/>
      <c r="P282" s="193"/>
      <c r="Q282" s="168"/>
      <c r="R282" s="160"/>
    </row>
    <row r="283" ht="42.6" customHeight="1" spans="1:18">
      <c r="A283" s="188"/>
      <c r="B283" s="214" t="s">
        <v>224</v>
      </c>
      <c r="C283" s="127"/>
      <c r="D283" s="127"/>
      <c r="E283" s="127"/>
      <c r="F283" s="127"/>
      <c r="G283" s="196"/>
      <c r="H283" s="227"/>
      <c r="I283" s="227"/>
      <c r="J283" s="198"/>
      <c r="M283" s="160"/>
      <c r="N283" s="160"/>
      <c r="O283" s="192"/>
      <c r="P283" s="193"/>
      <c r="Q283" s="168"/>
      <c r="R283" s="160"/>
    </row>
    <row r="284" ht="42.6" customHeight="1" spans="1:18">
      <c r="A284" s="188"/>
      <c r="B284" s="214" t="s">
        <v>225</v>
      </c>
      <c r="C284" s="127"/>
      <c r="D284" s="127"/>
      <c r="E284" s="127"/>
      <c r="F284" s="127"/>
      <c r="G284" s="196"/>
      <c r="H284" s="227"/>
      <c r="I284" s="227"/>
      <c r="J284" s="198"/>
      <c r="M284" s="160" t="s">
        <v>89</v>
      </c>
      <c r="N284" s="160">
        <v>1</v>
      </c>
      <c r="O284" s="192">
        <v>489.24</v>
      </c>
      <c r="P284" s="193"/>
      <c r="Q284" s="168">
        <f>O284*N284</f>
        <v>489.24</v>
      </c>
      <c r="R284" s="171">
        <f t="shared" si="3"/>
        <v>489.24</v>
      </c>
    </row>
    <row r="285" ht="42.6" customHeight="1" spans="1:18">
      <c r="A285" s="188"/>
      <c r="B285" s="127"/>
      <c r="C285" s="127"/>
      <c r="D285" s="127"/>
      <c r="E285" s="127"/>
      <c r="F285" s="127"/>
      <c r="G285" s="196"/>
      <c r="H285" s="227"/>
      <c r="I285" s="227"/>
      <c r="J285" s="198"/>
      <c r="M285" s="160"/>
      <c r="N285" s="160"/>
      <c r="O285" s="192"/>
      <c r="P285" s="193"/>
      <c r="Q285" s="168"/>
      <c r="R285" s="160"/>
    </row>
    <row r="286" ht="42.6" customHeight="1" spans="1:18">
      <c r="A286" s="188" t="s">
        <v>139</v>
      </c>
      <c r="B286" s="233" t="s">
        <v>226</v>
      </c>
      <c r="C286" s="127"/>
      <c r="D286" s="127"/>
      <c r="E286" s="127"/>
      <c r="F286" s="127"/>
      <c r="G286" s="196"/>
      <c r="H286" s="227"/>
      <c r="I286" s="227"/>
      <c r="J286" s="198"/>
      <c r="M286" s="160"/>
      <c r="N286" s="160"/>
      <c r="O286" s="192"/>
      <c r="P286" s="193"/>
      <c r="Q286" s="168"/>
      <c r="R286" s="160"/>
    </row>
    <row r="287" ht="42.6" customHeight="1" spans="1:18">
      <c r="A287" s="188"/>
      <c r="B287" s="157" t="s">
        <v>227</v>
      </c>
      <c r="C287" s="127"/>
      <c r="D287" s="127"/>
      <c r="E287" s="127"/>
      <c r="F287" s="127"/>
      <c r="G287" s="196"/>
      <c r="H287" s="227"/>
      <c r="I287" s="227"/>
      <c r="J287" s="198"/>
      <c r="M287" s="160" t="s">
        <v>89</v>
      </c>
      <c r="N287" s="160">
        <v>1</v>
      </c>
      <c r="O287" s="192">
        <v>450.5</v>
      </c>
      <c r="P287" s="193"/>
      <c r="Q287" s="168">
        <f>O287*N287</f>
        <v>450.5</v>
      </c>
      <c r="R287" s="171">
        <f t="shared" si="3"/>
        <v>450.5</v>
      </c>
    </row>
    <row r="288" ht="42.6" customHeight="1" spans="1:18">
      <c r="A288" s="188"/>
      <c r="B288" s="127"/>
      <c r="C288" s="127"/>
      <c r="D288" s="127"/>
      <c r="E288" s="127"/>
      <c r="F288" s="127"/>
      <c r="G288" s="196"/>
      <c r="H288" s="227"/>
      <c r="I288" s="227"/>
      <c r="J288" s="198"/>
      <c r="M288" s="160"/>
      <c r="N288" s="160"/>
      <c r="O288" s="192"/>
      <c r="P288" s="193"/>
      <c r="Q288" s="168"/>
      <c r="R288" s="160"/>
    </row>
    <row r="289" ht="42.6" customHeight="1" spans="1:18">
      <c r="A289" s="188"/>
      <c r="B289" s="127"/>
      <c r="C289" s="127"/>
      <c r="D289" s="127"/>
      <c r="E289" s="127"/>
      <c r="F289" s="127"/>
      <c r="G289" s="196"/>
      <c r="H289" s="227"/>
      <c r="I289" s="227"/>
      <c r="J289" s="198"/>
      <c r="M289" s="160"/>
      <c r="N289" s="160"/>
      <c r="O289" s="192"/>
      <c r="P289" s="193"/>
      <c r="Q289" s="168"/>
      <c r="R289" s="160"/>
    </row>
    <row r="290" ht="42.6" customHeight="1" spans="1:18">
      <c r="A290" s="188"/>
      <c r="B290" s="127"/>
      <c r="C290" s="127"/>
      <c r="D290" s="127"/>
      <c r="E290" s="127"/>
      <c r="F290" s="127"/>
      <c r="G290" s="196"/>
      <c r="H290" s="227"/>
      <c r="I290" s="227"/>
      <c r="J290" s="198"/>
      <c r="M290" s="160"/>
      <c r="N290" s="160"/>
      <c r="O290" s="192"/>
      <c r="P290" s="193"/>
      <c r="Q290" s="168"/>
      <c r="R290" s="160"/>
    </row>
    <row r="291" ht="42.6" customHeight="1" spans="1:18">
      <c r="A291" s="188"/>
      <c r="B291" s="127"/>
      <c r="C291" s="127"/>
      <c r="D291" s="127"/>
      <c r="E291" s="127"/>
      <c r="F291" s="127"/>
      <c r="G291" s="196"/>
      <c r="H291" s="227"/>
      <c r="I291" s="227"/>
      <c r="J291" s="198"/>
      <c r="M291" s="160"/>
      <c r="N291" s="160"/>
      <c r="O291" s="192"/>
      <c r="P291" s="193"/>
      <c r="Q291" s="168"/>
      <c r="R291" s="160"/>
    </row>
    <row r="292" ht="42.6" customHeight="1" spans="1:18">
      <c r="A292" s="188"/>
      <c r="B292" s="127"/>
      <c r="C292" s="127"/>
      <c r="D292" s="127"/>
      <c r="E292" s="127"/>
      <c r="F292" s="127"/>
      <c r="G292" s="196"/>
      <c r="H292" s="227"/>
      <c r="I292" s="227"/>
      <c r="J292" s="198"/>
      <c r="M292" s="160"/>
      <c r="N292" s="160"/>
      <c r="O292" s="192"/>
      <c r="P292" s="193"/>
      <c r="Q292" s="168"/>
      <c r="R292" s="160"/>
    </row>
    <row r="293" ht="42.6" customHeight="1" spans="1:18">
      <c r="A293" s="137" t="s">
        <v>35</v>
      </c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9"/>
      <c r="Q293" s="176">
        <f>SUM(Q241:Q292)</f>
        <v>2122.52</v>
      </c>
      <c r="R293" s="177">
        <f>SUM(R243:R291)</f>
        <v>2122.52</v>
      </c>
    </row>
    <row r="294" ht="42.6" customHeight="1" spans="1:18">
      <c r="A294" s="258"/>
      <c r="B294" s="259"/>
      <c r="C294" s="260"/>
      <c r="D294" s="260"/>
      <c r="E294" s="260"/>
      <c r="F294" s="260"/>
      <c r="G294" s="260"/>
      <c r="H294" s="261"/>
      <c r="I294" s="261"/>
      <c r="J294" s="260"/>
      <c r="K294" s="185"/>
      <c r="L294" s="185"/>
      <c r="M294" s="151"/>
      <c r="N294" s="151"/>
      <c r="O294" s="152"/>
      <c r="P294" s="153"/>
      <c r="Q294" s="262"/>
      <c r="R294" s="263"/>
    </row>
    <row r="295" ht="42.6" customHeight="1" spans="1:18">
      <c r="A295" s="264"/>
      <c r="B295" s="265" t="s">
        <v>12</v>
      </c>
      <c r="K295" s="156"/>
      <c r="L295" s="186"/>
      <c r="M295" s="157"/>
      <c r="N295" s="157"/>
      <c r="O295" s="158"/>
      <c r="P295" s="159"/>
      <c r="Q295" s="266">
        <f>Q59</f>
        <v>2040</v>
      </c>
      <c r="R295" s="267">
        <f>R59</f>
        <v>2040</v>
      </c>
    </row>
    <row r="296" ht="42.6" customHeight="1" spans="1:18">
      <c r="A296" s="264"/>
      <c r="B296" s="268"/>
      <c r="H296" s="123"/>
      <c r="I296" s="123"/>
      <c r="M296" s="157"/>
      <c r="N296" s="157"/>
      <c r="O296" s="158"/>
      <c r="P296" s="159"/>
      <c r="Q296" s="269"/>
      <c r="R296" s="270"/>
    </row>
    <row r="297" ht="42.6" customHeight="1" spans="1:18">
      <c r="A297" s="271"/>
      <c r="B297" s="272" t="s">
        <v>126</v>
      </c>
      <c r="C297" s="273"/>
      <c r="D297" s="273"/>
      <c r="E297" s="273"/>
      <c r="F297" s="273"/>
      <c r="G297" s="273"/>
      <c r="H297" s="273"/>
      <c r="I297" s="273"/>
      <c r="J297" s="273"/>
      <c r="M297" s="157"/>
      <c r="N297" s="157"/>
      <c r="O297" s="192"/>
      <c r="P297" s="193"/>
      <c r="Q297" s="269"/>
      <c r="R297" s="270"/>
    </row>
    <row r="298" ht="42.6" customHeight="1" spans="1:18">
      <c r="A298" s="274"/>
      <c r="B298" s="275" t="s">
        <v>127</v>
      </c>
      <c r="C298" s="156"/>
      <c r="D298" s="156"/>
      <c r="E298" s="156"/>
      <c r="F298" s="156"/>
      <c r="G298" s="156"/>
      <c r="H298" s="156"/>
      <c r="I298" s="156"/>
      <c r="J298" s="156"/>
      <c r="K298" s="156"/>
      <c r="L298" s="186"/>
      <c r="M298" s="157"/>
      <c r="N298" s="157"/>
      <c r="O298" s="192"/>
      <c r="P298" s="193"/>
      <c r="Q298" s="266">
        <f>Q119</f>
        <v>8538</v>
      </c>
      <c r="R298" s="270">
        <f>R119</f>
        <v>8442.3</v>
      </c>
    </row>
    <row r="299" ht="42.6" customHeight="1" spans="1:18">
      <c r="A299" s="274"/>
      <c r="B299" s="275"/>
      <c r="C299" s="156"/>
      <c r="D299" s="156"/>
      <c r="E299" s="156"/>
      <c r="F299" s="156"/>
      <c r="G299" s="156"/>
      <c r="H299" s="156"/>
      <c r="I299" s="156"/>
      <c r="J299" s="156"/>
      <c r="K299" s="156"/>
      <c r="L299" s="186"/>
      <c r="M299" s="157"/>
      <c r="N299" s="157"/>
      <c r="O299" s="192"/>
      <c r="P299" s="193"/>
      <c r="Q299" s="266"/>
      <c r="R299" s="270"/>
    </row>
    <row r="300" ht="42.6" customHeight="1" spans="1:18">
      <c r="A300" s="274"/>
      <c r="B300" s="272" t="s">
        <v>163</v>
      </c>
      <c r="C300" s="273"/>
      <c r="D300" s="273"/>
      <c r="E300" s="273"/>
      <c r="F300" s="273"/>
      <c r="G300" s="273"/>
      <c r="H300" s="273"/>
      <c r="I300" s="273"/>
      <c r="J300" s="273"/>
      <c r="K300" s="156"/>
      <c r="L300" s="186"/>
      <c r="M300" s="157"/>
      <c r="N300" s="157"/>
      <c r="O300" s="192"/>
      <c r="P300" s="193"/>
      <c r="Q300" s="266"/>
      <c r="R300" s="270"/>
    </row>
    <row r="301" ht="42.6" customHeight="1" spans="1:18">
      <c r="A301" s="274"/>
      <c r="B301" s="275" t="s">
        <v>127</v>
      </c>
      <c r="C301" s="156"/>
      <c r="D301" s="156"/>
      <c r="E301" s="156"/>
      <c r="F301" s="156"/>
      <c r="G301" s="156"/>
      <c r="H301" s="156"/>
      <c r="I301" s="156"/>
      <c r="J301" s="156"/>
      <c r="K301" s="156"/>
      <c r="L301" s="186"/>
      <c r="M301" s="157"/>
      <c r="N301" s="157"/>
      <c r="O301" s="192"/>
      <c r="P301" s="193"/>
      <c r="Q301" s="266">
        <f>Q179</f>
        <v>6867.12</v>
      </c>
      <c r="R301" s="267">
        <f>R179</f>
        <v>7017.96</v>
      </c>
    </row>
    <row r="302" ht="42.6" customHeight="1" spans="1:18">
      <c r="A302" s="274"/>
      <c r="B302" s="275"/>
      <c r="C302" s="156"/>
      <c r="D302" s="156"/>
      <c r="E302" s="156"/>
      <c r="F302" s="156"/>
      <c r="G302" s="156"/>
      <c r="H302" s="156"/>
      <c r="I302" s="156"/>
      <c r="J302" s="156"/>
      <c r="K302" s="156"/>
      <c r="L302" s="186"/>
      <c r="M302" s="157"/>
      <c r="N302" s="157"/>
      <c r="O302" s="192"/>
      <c r="P302" s="193"/>
      <c r="Q302" s="266"/>
      <c r="R302" s="270"/>
    </row>
    <row r="303" ht="42.6" customHeight="1" spans="1:18">
      <c r="A303" s="274"/>
      <c r="B303" s="272" t="s">
        <v>178</v>
      </c>
      <c r="C303" s="273"/>
      <c r="D303" s="273"/>
      <c r="E303" s="273"/>
      <c r="F303" s="273"/>
      <c r="G303" s="273"/>
      <c r="H303" s="273"/>
      <c r="I303" s="273"/>
      <c r="J303" s="273"/>
      <c r="K303" s="156"/>
      <c r="L303" s="186"/>
      <c r="M303" s="157"/>
      <c r="N303" s="157"/>
      <c r="O303" s="192"/>
      <c r="P303" s="193"/>
      <c r="Q303" s="266"/>
      <c r="R303" s="270"/>
    </row>
    <row r="304" ht="42.6" customHeight="1" spans="1:18">
      <c r="A304" s="274"/>
      <c r="B304" s="275" t="s">
        <v>127</v>
      </c>
      <c r="C304" s="156"/>
      <c r="D304" s="156"/>
      <c r="E304" s="156"/>
      <c r="F304" s="156"/>
      <c r="G304" s="156"/>
      <c r="H304" s="156"/>
      <c r="I304" s="156"/>
      <c r="J304" s="156"/>
      <c r="K304" s="156"/>
      <c r="L304" s="186"/>
      <c r="M304" s="157"/>
      <c r="N304" s="157"/>
      <c r="O304" s="192"/>
      <c r="P304" s="193"/>
      <c r="Q304" s="266">
        <f>Q239</f>
        <v>6364.454</v>
      </c>
      <c r="R304" s="267">
        <f>R239</f>
        <v>6576.034</v>
      </c>
    </row>
    <row r="305" ht="42.6" customHeight="1" spans="1:18">
      <c r="A305" s="274"/>
      <c r="B305" s="275"/>
      <c r="C305" s="156"/>
      <c r="D305" s="156"/>
      <c r="E305" s="156"/>
      <c r="F305" s="156"/>
      <c r="G305" s="156"/>
      <c r="H305" s="156"/>
      <c r="I305" s="156"/>
      <c r="J305" s="156"/>
      <c r="K305" s="156"/>
      <c r="L305" s="186"/>
      <c r="M305" s="157"/>
      <c r="N305" s="157"/>
      <c r="O305" s="192"/>
      <c r="P305" s="193"/>
      <c r="Q305" s="266"/>
      <c r="R305" s="270"/>
    </row>
    <row r="306" ht="42.6" customHeight="1" spans="1:18">
      <c r="A306" s="274"/>
      <c r="B306" s="272" t="s">
        <v>187</v>
      </c>
      <c r="C306" s="273"/>
      <c r="D306" s="273"/>
      <c r="E306" s="273"/>
      <c r="F306" s="273"/>
      <c r="G306" s="273"/>
      <c r="H306" s="273"/>
      <c r="I306" s="273"/>
      <c r="J306" s="273"/>
      <c r="K306" s="156"/>
      <c r="L306" s="186"/>
      <c r="M306" s="157"/>
      <c r="N306" s="157"/>
      <c r="O306" s="192"/>
      <c r="P306" s="193"/>
      <c r="Q306" s="266"/>
      <c r="R306" s="270"/>
    </row>
    <row r="307" ht="42.6" customHeight="1" spans="1:18">
      <c r="A307" s="274"/>
      <c r="B307" s="275" t="s">
        <v>188</v>
      </c>
      <c r="C307" s="156"/>
      <c r="D307" s="156"/>
      <c r="E307" s="156"/>
      <c r="F307" s="156"/>
      <c r="G307" s="156"/>
      <c r="H307" s="156"/>
      <c r="I307" s="156"/>
      <c r="J307" s="156"/>
      <c r="K307" s="156"/>
      <c r="L307" s="186"/>
      <c r="M307" s="157"/>
      <c r="N307" s="157"/>
      <c r="O307" s="192"/>
      <c r="P307" s="193"/>
      <c r="Q307" s="266">
        <f>Q293</f>
        <v>2122.52</v>
      </c>
      <c r="R307" s="267">
        <f>R293</f>
        <v>2122.52</v>
      </c>
    </row>
    <row r="308" ht="42.6" customHeight="1" spans="1:18">
      <c r="A308" s="274"/>
      <c r="B308" s="275"/>
      <c r="C308" s="156"/>
      <c r="D308" s="156"/>
      <c r="E308" s="156"/>
      <c r="F308" s="156"/>
      <c r="G308" s="156"/>
      <c r="H308" s="156"/>
      <c r="I308" s="156"/>
      <c r="J308" s="156"/>
      <c r="K308" s="156"/>
      <c r="L308" s="186"/>
      <c r="M308" s="157"/>
      <c r="N308" s="157"/>
      <c r="O308" s="192"/>
      <c r="P308" s="193"/>
      <c r="Q308" s="266"/>
      <c r="R308" s="276"/>
    </row>
    <row r="309" ht="42.6" customHeight="1" spans="1:18">
      <c r="A309" s="274"/>
      <c r="B309" s="277" t="s">
        <v>35</v>
      </c>
      <c r="C309" s="278"/>
      <c r="D309" s="278"/>
      <c r="E309" s="278"/>
      <c r="F309" s="278"/>
      <c r="G309" s="278"/>
      <c r="H309" s="278"/>
      <c r="I309" s="278"/>
      <c r="J309" s="278"/>
      <c r="K309" s="278"/>
      <c r="L309" s="278"/>
      <c r="M309" s="278"/>
      <c r="N309" s="278"/>
      <c r="O309" s="278"/>
      <c r="P309" s="279"/>
      <c r="Q309" s="280">
        <f>SUM(Q295:Q308)</f>
        <v>25932.094</v>
      </c>
      <c r="R309" s="281">
        <f>SUM(R295:R308)</f>
        <v>26198.814</v>
      </c>
    </row>
    <row r="310" ht="42.6" customHeight="1" spans="1:18">
      <c r="A310" s="274"/>
      <c r="B310" s="127"/>
      <c r="D310" s="127"/>
      <c r="E310" s="282"/>
      <c r="F310" s="283"/>
      <c r="G310" s="284"/>
      <c r="H310" s="285"/>
      <c r="I310" s="285"/>
      <c r="J310" s="286" t="s">
        <v>228</v>
      </c>
      <c r="K310" s="287">
        <f>R309-Q309</f>
        <v>266.719999999998</v>
      </c>
      <c r="L310" s="288"/>
      <c r="M310" s="283"/>
      <c r="N310" s="289"/>
      <c r="O310" s="290"/>
      <c r="P310" s="290"/>
      <c r="Q310" s="291"/>
    </row>
    <row r="311" ht="42.6" customHeight="1" spans="1:18">
      <c r="A311" s="274"/>
      <c r="B311" s="292"/>
      <c r="C311" s="293"/>
      <c r="D311" s="293"/>
      <c r="E311" s="293"/>
      <c r="F311" s="293"/>
      <c r="G311" s="293"/>
      <c r="H311" s="285"/>
      <c r="I311" s="285"/>
      <c r="J311" s="293"/>
      <c r="K311" s="294"/>
      <c r="L311" s="294"/>
      <c r="M311" s="282"/>
      <c r="N311" s="283"/>
      <c r="O311" s="295"/>
      <c r="P311" s="295"/>
    </row>
    <row r="312" ht="42.6" customHeight="1" spans="1:18">
      <c r="A312" s="274"/>
      <c r="B312" s="292"/>
      <c r="C312" s="293"/>
      <c r="D312" s="293"/>
      <c r="E312" s="296"/>
      <c r="F312" s="296"/>
      <c r="G312" s="296"/>
      <c r="H312" s="285"/>
      <c r="I312" s="285"/>
      <c r="J312" s="297" t="s">
        <v>229</v>
      </c>
      <c r="K312" s="294"/>
      <c r="L312" s="298">
        <f>R309</f>
        <v>26198.814</v>
      </c>
      <c r="M312" s="299"/>
      <c r="N312" s="300"/>
      <c r="O312" s="295"/>
      <c r="P312" s="295"/>
    </row>
    <row r="313" ht="42.6" customHeight="1" spans="1:18">
      <c r="A313" s="274"/>
      <c r="B313" s="292"/>
      <c r="C313" s="293"/>
      <c r="D313" s="293"/>
      <c r="E313" s="296"/>
      <c r="F313" s="296"/>
      <c r="G313" s="296"/>
      <c r="H313" s="285"/>
      <c r="I313" s="285"/>
      <c r="J313" s="301" t="s">
        <v>230</v>
      </c>
      <c r="K313" s="294"/>
      <c r="L313" s="298">
        <f>Q309</f>
        <v>25932.094</v>
      </c>
      <c r="M313" s="299"/>
      <c r="N313" s="300"/>
      <c r="O313" s="295"/>
      <c r="P313" s="295"/>
    </row>
    <row r="314" ht="42.6" customHeight="1" spans="1:18">
      <c r="A314" s="274"/>
      <c r="B314" s="292"/>
      <c r="C314" s="293"/>
      <c r="D314" s="293"/>
      <c r="E314" s="296"/>
      <c r="F314" s="296"/>
      <c r="G314" s="296"/>
      <c r="H314" s="285"/>
      <c r="I314" s="285"/>
      <c r="J314" s="296"/>
      <c r="K314" s="294"/>
      <c r="L314" s="294"/>
      <c r="M314" s="283"/>
      <c r="N314" s="283"/>
      <c r="O314" s="295"/>
      <c r="P314" s="295"/>
    </row>
    <row r="315" ht="42.6" customHeight="1" spans="1:18">
      <c r="A315" s="274"/>
      <c r="B315" s="292"/>
      <c r="C315" s="293"/>
      <c r="D315" s="293"/>
      <c r="E315" s="302" t="s">
        <v>231</v>
      </c>
      <c r="F315" s="303"/>
      <c r="G315" s="303"/>
      <c r="H315" s="303"/>
      <c r="I315" s="304"/>
      <c r="J315" s="305">
        <f>Q309</f>
        <v>25932.094</v>
      </c>
      <c r="K315" s="294"/>
      <c r="L315" s="294"/>
      <c r="M315" s="283"/>
      <c r="N315" s="283"/>
      <c r="O315" s="295"/>
      <c r="P315" s="295"/>
    </row>
    <row r="316" ht="42.6" customHeight="1" spans="1:18">
      <c r="A316" s="274"/>
      <c r="B316" s="292"/>
      <c r="C316" s="293"/>
      <c r="D316" s="293"/>
      <c r="E316" s="302" t="s">
        <v>232</v>
      </c>
      <c r="F316" s="303"/>
      <c r="G316" s="303"/>
      <c r="H316" s="303"/>
      <c r="I316" s="304"/>
      <c r="J316" s="306"/>
      <c r="K316" s="294"/>
      <c r="L316" s="294"/>
      <c r="M316" s="283"/>
      <c r="N316" s="283"/>
      <c r="O316" s="295"/>
      <c r="P316" s="295"/>
    </row>
    <row r="317" ht="42.6" customHeight="1" spans="1:18">
      <c r="A317" s="274"/>
      <c r="B317" s="292"/>
      <c r="C317" s="293"/>
      <c r="D317" s="293"/>
      <c r="E317" s="302" t="s">
        <v>233</v>
      </c>
      <c r="F317" s="303"/>
      <c r="G317" s="303"/>
      <c r="H317" s="303"/>
      <c r="I317" s="304"/>
      <c r="J317" s="307" t="s">
        <v>148</v>
      </c>
      <c r="K317" s="308"/>
      <c r="L317" s="308"/>
      <c r="M317" s="308"/>
      <c r="N317" s="308"/>
      <c r="O317" s="295"/>
      <c r="P317" s="295"/>
    </row>
    <row r="318" ht="42.6" customHeight="1" spans="1:18">
      <c r="A318" s="274"/>
      <c r="B318" s="292"/>
      <c r="C318" s="296"/>
      <c r="D318" s="296"/>
      <c r="E318" s="302" t="s">
        <v>234</v>
      </c>
      <c r="F318" s="303"/>
      <c r="G318" s="303"/>
      <c r="H318" s="303"/>
      <c r="I318" s="304"/>
      <c r="J318" s="309" t="s">
        <v>148</v>
      </c>
      <c r="K318" s="308"/>
      <c r="L318" s="308"/>
      <c r="M318" s="308"/>
      <c r="N318" s="308"/>
      <c r="O318" s="295"/>
      <c r="P318" s="295"/>
    </row>
    <row r="319" ht="42.6" customHeight="1" spans="1:18">
      <c r="A319" s="274"/>
      <c r="B319" s="292"/>
      <c r="C319" s="308"/>
      <c r="D319" s="308"/>
      <c r="E319" s="302" t="s">
        <v>235</v>
      </c>
      <c r="F319" s="303"/>
      <c r="G319" s="303"/>
      <c r="H319" s="303"/>
      <c r="I319" s="304"/>
      <c r="J319" s="307" t="s">
        <v>148</v>
      </c>
      <c r="K319" s="308"/>
      <c r="L319" s="308"/>
      <c r="M319" s="308"/>
      <c r="N319" s="308"/>
      <c r="O319" s="295"/>
      <c r="P319" s="295"/>
    </row>
    <row r="320" ht="42.6" customHeight="1" spans="1:18">
      <c r="A320" s="274"/>
      <c r="B320" s="292"/>
      <c r="C320" s="308"/>
      <c r="D320" s="308"/>
      <c r="E320" s="302" t="s">
        <v>236</v>
      </c>
      <c r="F320" s="303"/>
      <c r="G320" s="303"/>
      <c r="H320" s="303"/>
      <c r="I320" s="304"/>
      <c r="J320" s="310">
        <f>J315</f>
        <v>25932.094</v>
      </c>
      <c r="K320" s="294"/>
      <c r="L320" s="294"/>
      <c r="M320" s="283"/>
      <c r="N320" s="283"/>
      <c r="O320" s="295"/>
      <c r="P320" s="295"/>
    </row>
    <row r="321" ht="42.6" customHeight="1" spans="1:17">
      <c r="A321" s="274"/>
      <c r="B321" s="292"/>
      <c r="C321" s="308"/>
      <c r="D321" s="308"/>
      <c r="E321" s="308"/>
      <c r="F321" s="308"/>
      <c r="G321" s="308"/>
      <c r="H321" s="311"/>
      <c r="I321" s="311"/>
      <c r="J321" s="308"/>
      <c r="K321" s="308"/>
      <c r="L321" s="308"/>
      <c r="M321" s="308"/>
      <c r="N321" s="308"/>
      <c r="O321" s="295"/>
      <c r="P321" s="295"/>
    </row>
    <row r="322" ht="42.6" customHeight="1" spans="1:17">
      <c r="A322" s="274"/>
      <c r="B322" s="127"/>
      <c r="D322" s="127"/>
      <c r="E322" s="308"/>
      <c r="F322" s="308"/>
      <c r="G322" s="308"/>
      <c r="H322" s="311"/>
      <c r="I322" s="311"/>
      <c r="J322" s="312"/>
      <c r="L322" s="124"/>
      <c r="M322" s="126"/>
      <c r="N322" s="124"/>
      <c r="O322" s="295"/>
      <c r="P322" s="295"/>
      <c r="Q322" s="313"/>
    </row>
    <row r="323" ht="42" customHeight="1" spans="1:17">
      <c r="A323" s="274"/>
      <c r="B323" s="292"/>
      <c r="C323" s="163"/>
      <c r="D323" s="163"/>
      <c r="E323" s="308"/>
      <c r="F323" s="308"/>
      <c r="G323" s="308"/>
      <c r="H323" s="311"/>
      <c r="I323" s="311"/>
      <c r="J323" s="314"/>
      <c r="L323" s="124"/>
      <c r="M323" s="126"/>
      <c r="N323" s="124"/>
      <c r="O323" s="295"/>
      <c r="P323" s="295"/>
      <c r="Q323" s="315"/>
    </row>
    <row r="324" ht="42.6" customHeight="1" spans="1:17">
      <c r="A324" s="274"/>
      <c r="B324" s="292" t="s">
        <v>237</v>
      </c>
      <c r="C324" s="292"/>
      <c r="D324" s="292"/>
      <c r="E324" s="292"/>
      <c r="F324" s="292"/>
      <c r="G324" s="292"/>
      <c r="H324" s="292"/>
      <c r="I324" s="292"/>
      <c r="J324" s="316" t="s">
        <v>100</v>
      </c>
      <c r="K324" s="292"/>
      <c r="M324" s="292"/>
      <c r="N324" s="292"/>
      <c r="O324" s="295"/>
      <c r="P324" s="295"/>
      <c r="Q324" s="315"/>
    </row>
    <row r="325" ht="42.6" customHeight="1" spans="1:17">
      <c r="A325" s="274"/>
      <c r="B325" s="292" t="s">
        <v>238</v>
      </c>
      <c r="C325" s="172"/>
      <c r="D325" s="172"/>
      <c r="E325" s="172"/>
      <c r="F325" s="172"/>
      <c r="G325" s="172"/>
      <c r="H325" s="197"/>
      <c r="I325" s="197"/>
      <c r="J325" s="317" t="s">
        <v>102</v>
      </c>
      <c r="M325" s="127"/>
      <c r="N325" s="127"/>
      <c r="O325" s="295"/>
      <c r="P325" s="295"/>
      <c r="Q325" s="315"/>
    </row>
    <row r="326" ht="42.6" customHeight="1" spans="1:17">
      <c r="A326" s="274"/>
      <c r="B326" s="292" t="s">
        <v>239</v>
      </c>
      <c r="C326" s="172"/>
      <c r="D326" s="172"/>
      <c r="E326" s="172"/>
      <c r="F326" s="172"/>
      <c r="G326" s="172"/>
      <c r="H326" s="197"/>
      <c r="I326" s="197"/>
      <c r="J326" s="317" t="s">
        <v>104</v>
      </c>
      <c r="M326" s="127"/>
      <c r="N326" s="127"/>
      <c r="O326" s="295"/>
      <c r="P326" s="295"/>
      <c r="Q326" s="315"/>
    </row>
    <row r="327" ht="42.6" customHeight="1" spans="1:17">
      <c r="A327" s="274"/>
      <c r="B327" s="292"/>
      <c r="C327" s="172"/>
      <c r="D327" s="172"/>
      <c r="E327" s="172"/>
      <c r="F327" s="172"/>
      <c r="G327" s="172"/>
      <c r="H327" s="318"/>
      <c r="I327" s="318"/>
      <c r="J327" s="172"/>
      <c r="M327" s="127"/>
      <c r="N327" s="127"/>
      <c r="O327" s="315"/>
      <c r="P327" s="315"/>
      <c r="Q327" s="315"/>
    </row>
    <row r="328" ht="42.6" customHeight="1" spans="1:17">
      <c r="A328" s="274"/>
      <c r="B328" s="292" t="s">
        <v>105</v>
      </c>
      <c r="C328" s="172"/>
      <c r="D328" s="172"/>
      <c r="E328" s="172"/>
      <c r="F328" s="172"/>
      <c r="G328" s="172"/>
      <c r="H328" s="318"/>
      <c r="I328" s="318"/>
      <c r="J328" s="319" t="s">
        <v>106</v>
      </c>
      <c r="M328" s="127"/>
      <c r="N328" s="127"/>
      <c r="O328" s="315"/>
      <c r="P328" s="315"/>
      <c r="Q328" s="315"/>
    </row>
    <row r="329" ht="42.6" customHeight="1" spans="1:17">
      <c r="A329" s="274"/>
      <c r="B329" s="292"/>
      <c r="C329" s="172"/>
      <c r="D329" s="172"/>
      <c r="E329" s="172"/>
      <c r="F329" s="172"/>
      <c r="G329" s="172"/>
      <c r="H329" s="318"/>
      <c r="I329" s="318"/>
      <c r="J329" s="172"/>
      <c r="M329" s="127"/>
      <c r="N329" s="127"/>
      <c r="O329" s="315"/>
      <c r="P329" s="315"/>
      <c r="Q329" s="315"/>
    </row>
    <row r="330" ht="42.6" customHeight="1" spans="1:17">
      <c r="A330" s="274"/>
      <c r="B330" s="320"/>
      <c r="C330" s="321"/>
      <c r="D330" s="321"/>
      <c r="E330" s="321"/>
      <c r="F330" s="321"/>
      <c r="G330" s="322"/>
      <c r="H330" s="318"/>
      <c r="I330" s="318"/>
      <c r="J330" s="323"/>
      <c r="M330" s="324"/>
      <c r="N330" s="325"/>
      <c r="O330" s="326"/>
      <c r="P330" s="326"/>
      <c r="Q330" s="313"/>
    </row>
    <row r="331" ht="42.6" customHeight="1" spans="1:17">
      <c r="A331" s="274"/>
      <c r="B331" s="292"/>
      <c r="C331" s="172"/>
      <c r="D331" s="172"/>
      <c r="E331" s="172"/>
      <c r="F331" s="172"/>
      <c r="G331" s="172"/>
      <c r="H331" s="318"/>
      <c r="I331" s="318"/>
      <c r="J331" s="172"/>
      <c r="M331" s="127"/>
      <c r="N331" s="127"/>
      <c r="O331" s="315"/>
      <c r="P331" s="315"/>
      <c r="Q331" s="315"/>
    </row>
    <row r="332" ht="42.6" customHeight="1" spans="1:17">
      <c r="A332" s="274"/>
      <c r="B332" s="327"/>
      <c r="C332" s="172"/>
      <c r="D332" s="172"/>
      <c r="E332" s="172"/>
      <c r="F332" s="172"/>
      <c r="G332" s="172"/>
      <c r="H332" s="318"/>
      <c r="I332" s="318"/>
      <c r="J332" s="328"/>
      <c r="M332" s="127"/>
      <c r="N332" s="127"/>
      <c r="O332" s="315"/>
      <c r="P332" s="315"/>
      <c r="Q332" s="315"/>
    </row>
    <row r="333" ht="42.6" customHeight="1" spans="1:17">
      <c r="A333" s="274"/>
      <c r="B333" s="329"/>
      <c r="C333" s="172"/>
      <c r="D333" s="172"/>
      <c r="E333" s="172"/>
      <c r="F333" s="172"/>
      <c r="G333" s="172"/>
      <c r="H333" s="318"/>
      <c r="I333" s="318"/>
      <c r="J333" s="172"/>
      <c r="M333" s="127"/>
      <c r="N333" s="127"/>
      <c r="O333" s="315"/>
      <c r="P333" s="315"/>
      <c r="Q333" s="315"/>
    </row>
    <row r="334" ht="42.6" customHeight="1" spans="1:17">
      <c r="A334" s="274"/>
      <c r="B334" s="329"/>
      <c r="C334" s="172"/>
      <c r="D334" s="172"/>
      <c r="E334" s="172"/>
      <c r="F334" s="172"/>
      <c r="G334" s="172"/>
      <c r="H334" s="318"/>
      <c r="I334" s="318"/>
      <c r="J334" s="172"/>
      <c r="M334" s="127"/>
      <c r="N334" s="127"/>
      <c r="O334" s="315"/>
      <c r="P334" s="315"/>
      <c r="Q334" s="315"/>
    </row>
    <row r="335" ht="42.6" customHeight="1" spans="1:17">
      <c r="A335" s="274"/>
      <c r="B335" s="292"/>
      <c r="C335" s="172"/>
      <c r="D335" s="172"/>
      <c r="E335" s="172"/>
      <c r="F335" s="172"/>
      <c r="G335" s="172"/>
      <c r="H335" s="318"/>
      <c r="I335" s="318"/>
      <c r="J335" s="127"/>
      <c r="K335" s="127"/>
      <c r="L335" s="127"/>
      <c r="M335" s="127"/>
      <c r="N335" s="127"/>
      <c r="O335" s="127"/>
      <c r="P335" s="127"/>
      <c r="Q335" s="127"/>
    </row>
    <row r="336" ht="42.6" customHeight="1" spans="1:17">
      <c r="A336" s="274"/>
      <c r="B336" s="292"/>
      <c r="C336" s="172"/>
      <c r="D336" s="172"/>
      <c r="E336" s="172"/>
      <c r="F336" s="172"/>
      <c r="G336" s="172"/>
      <c r="H336" s="318"/>
      <c r="I336" s="318"/>
      <c r="J336" s="127"/>
      <c r="K336" s="127"/>
      <c r="L336" s="127"/>
      <c r="M336" s="127"/>
      <c r="N336" s="127"/>
      <c r="O336" s="127"/>
      <c r="P336" s="127"/>
      <c r="Q336" s="127"/>
    </row>
    <row r="337" ht="42.6" customHeight="1" spans="1:17">
      <c r="A337" s="330"/>
      <c r="B337" s="331"/>
      <c r="C337" s="127"/>
      <c r="D337" s="127"/>
      <c r="E337" s="127"/>
      <c r="F337" s="127"/>
      <c r="G337" s="196"/>
      <c r="H337" s="318"/>
      <c r="I337" s="318"/>
      <c r="J337" s="196"/>
      <c r="M337" s="127"/>
      <c r="N337" s="127"/>
      <c r="O337" s="315"/>
      <c r="P337" s="315"/>
      <c r="Q337" s="326"/>
    </row>
    <row r="338" ht="42.6" customHeight="1" spans="1:17">
      <c r="A338" s="330"/>
      <c r="B338" s="292"/>
      <c r="C338" s="172"/>
      <c r="D338" s="172"/>
      <c r="E338" s="172"/>
      <c r="F338" s="172"/>
      <c r="G338" s="172"/>
      <c r="H338" s="318"/>
      <c r="I338" s="318"/>
      <c r="J338" s="172"/>
      <c r="M338" s="127"/>
      <c r="N338" s="127"/>
      <c r="O338" s="315"/>
      <c r="P338" s="315"/>
      <c r="Q338" s="315"/>
    </row>
    <row r="339" ht="42.6" customHeight="1" spans="1:17">
      <c r="A339" s="271"/>
      <c r="B339" s="332"/>
      <c r="H339" s="318"/>
      <c r="I339" s="318"/>
      <c r="M339" s="127"/>
      <c r="N339" s="127"/>
      <c r="O339" s="315"/>
      <c r="P339" s="315"/>
      <c r="Q339" s="315"/>
    </row>
    <row r="340" ht="42.6" customHeight="1" spans="1:17">
      <c r="A340" s="271"/>
      <c r="B340" s="292"/>
      <c r="C340" s="222"/>
      <c r="D340" s="222"/>
      <c r="E340" s="222"/>
      <c r="F340" s="222"/>
      <c r="G340" s="222"/>
      <c r="H340" s="318"/>
      <c r="I340" s="318"/>
      <c r="J340" s="222"/>
      <c r="M340" s="127"/>
      <c r="N340" s="127"/>
      <c r="O340" s="333"/>
      <c r="P340" s="333"/>
      <c r="Q340" s="333"/>
    </row>
    <row r="341" ht="42.6" customHeight="1" spans="1:17">
      <c r="A341" s="271"/>
      <c r="B341" s="292"/>
      <c r="C341" s="222"/>
      <c r="D341" s="222"/>
      <c r="E341" s="222"/>
      <c r="F341" s="222"/>
      <c r="G341" s="222"/>
      <c r="H341" s="318"/>
      <c r="I341" s="318"/>
      <c r="J341" s="222"/>
      <c r="K341" s="225"/>
      <c r="M341" s="325"/>
      <c r="N341" s="127"/>
      <c r="O341" s="315"/>
      <c r="P341" s="315"/>
      <c r="Q341" s="315"/>
    </row>
    <row r="342" ht="42.6" customHeight="1" spans="1:17">
      <c r="A342" s="271"/>
      <c r="B342" s="232"/>
      <c r="C342" s="222"/>
      <c r="D342" s="222"/>
      <c r="E342" s="222"/>
      <c r="F342" s="222"/>
      <c r="G342" s="222"/>
      <c r="H342" s="318"/>
      <c r="I342" s="318"/>
      <c r="J342" s="222"/>
      <c r="M342" s="127"/>
      <c r="N342" s="127"/>
      <c r="O342" s="315"/>
      <c r="P342" s="315"/>
      <c r="Q342" s="333"/>
    </row>
    <row r="343" ht="42.6" customHeight="1" spans="1:17">
      <c r="A343" s="271"/>
      <c r="B343" s="316"/>
      <c r="C343" s="127"/>
      <c r="D343" s="331"/>
      <c r="E343" s="127"/>
      <c r="F343" s="127"/>
      <c r="G343" s="127"/>
      <c r="H343" s="318"/>
      <c r="I343" s="318"/>
      <c r="J343" s="127"/>
      <c r="K343" s="334"/>
      <c r="N343" s="127"/>
      <c r="O343" s="315"/>
      <c r="P343" s="315"/>
      <c r="Q343" s="315"/>
    </row>
    <row r="344" ht="42.6" customHeight="1" spans="1:17">
      <c r="A344" s="271"/>
      <c r="B344" s="335"/>
      <c r="H344" s="318"/>
      <c r="I344" s="318"/>
      <c r="N344" s="127"/>
      <c r="O344" s="315"/>
      <c r="P344" s="315"/>
      <c r="Q344" s="315"/>
    </row>
    <row r="345" ht="42.6" customHeight="1" spans="1:17">
      <c r="A345" s="271"/>
      <c r="B345" s="292"/>
      <c r="H345" s="318"/>
      <c r="I345" s="318"/>
      <c r="N345" s="124"/>
      <c r="O345" s="315"/>
      <c r="P345" s="315"/>
      <c r="Q345" s="315"/>
    </row>
    <row r="346" ht="42.6" customHeight="1" spans="1:17">
      <c r="A346" s="271"/>
      <c r="B346" s="292"/>
      <c r="H346" s="318"/>
      <c r="I346" s="318"/>
      <c r="M346" s="127"/>
      <c r="N346" s="127"/>
      <c r="O346" s="315"/>
      <c r="P346" s="315"/>
      <c r="Q346" s="315"/>
    </row>
    <row r="347" ht="42.6" customHeight="1" spans="1:17">
      <c r="A347" s="271"/>
      <c r="B347" s="292"/>
      <c r="H347" s="318"/>
      <c r="I347" s="318"/>
      <c r="M347" s="127"/>
      <c r="N347" s="127"/>
      <c r="O347" s="315"/>
      <c r="P347" s="315"/>
      <c r="Q347" s="315"/>
    </row>
    <row r="348" ht="42.6" customHeight="1" spans="1:17">
      <c r="A348" s="271"/>
      <c r="B348" s="292"/>
      <c r="H348" s="318"/>
      <c r="I348" s="318"/>
      <c r="M348" s="127"/>
      <c r="N348" s="127"/>
      <c r="O348" s="315"/>
      <c r="P348" s="315"/>
      <c r="Q348" s="315"/>
    </row>
    <row r="349" ht="42.6" customHeight="1" spans="1:17">
      <c r="A349" s="271"/>
      <c r="B349" s="292"/>
      <c r="H349" s="318"/>
      <c r="I349" s="318"/>
      <c r="M349" s="127"/>
      <c r="N349" s="127"/>
      <c r="O349" s="315"/>
      <c r="P349" s="315"/>
      <c r="Q349" s="315"/>
    </row>
    <row r="350" ht="42.6" customHeight="1" spans="1:17">
      <c r="A350" s="271"/>
      <c r="B350" s="292"/>
      <c r="H350" s="318"/>
      <c r="I350" s="318"/>
      <c r="M350" s="127"/>
      <c r="N350" s="127"/>
      <c r="O350" s="315"/>
      <c r="P350" s="315"/>
      <c r="Q350" s="315"/>
    </row>
    <row r="351" ht="42.6" customHeight="1" spans="1:17">
      <c r="A351" s="271"/>
      <c r="B351" s="292"/>
      <c r="H351" s="318"/>
      <c r="I351" s="318"/>
      <c r="M351" s="127"/>
      <c r="N351" s="127"/>
      <c r="O351" s="315"/>
      <c r="P351" s="315"/>
      <c r="Q351" s="315"/>
    </row>
    <row r="352" ht="42.6" customHeight="1" spans="1:17">
      <c r="A352" s="271"/>
      <c r="B352" s="292"/>
      <c r="H352" s="318"/>
      <c r="I352" s="318"/>
      <c r="M352" s="127"/>
      <c r="N352" s="127"/>
      <c r="O352" s="315"/>
      <c r="P352" s="315"/>
      <c r="Q352" s="315"/>
    </row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s="123" customFormat="1" ht="15" customHeight="1" spans="2:20">
      <c r="B361" s="124"/>
      <c r="C361" s="124"/>
      <c r="D361" s="125"/>
      <c r="E361" s="124"/>
      <c r="F361" s="124"/>
      <c r="G361" s="124"/>
      <c r="H361" s="124"/>
      <c r="I361" s="124"/>
      <c r="J361" s="124"/>
      <c r="M361" s="124"/>
      <c r="N361" s="126"/>
      <c r="O361" s="124"/>
      <c r="P361" s="124"/>
      <c r="Q361" s="124"/>
      <c r="R361" s="127"/>
      <c r="S361" s="124"/>
      <c r="T361" s="124"/>
    </row>
    <row r="362" s="123" customFormat="1" ht="15" customHeight="1" spans="2:20">
      <c r="B362" s="124"/>
      <c r="C362" s="124"/>
      <c r="D362" s="125"/>
      <c r="E362" s="124"/>
      <c r="F362" s="124"/>
      <c r="G362" s="124"/>
      <c r="H362" s="124"/>
      <c r="I362" s="124"/>
      <c r="J362" s="124"/>
      <c r="M362" s="124"/>
      <c r="N362" s="126"/>
      <c r="O362" s="124"/>
      <c r="P362" s="124"/>
      <c r="Q362" s="124"/>
      <c r="R362" s="127"/>
      <c r="S362" s="124"/>
      <c r="T362" s="124"/>
    </row>
    <row r="363" s="123" customFormat="1" ht="15" customHeight="1" spans="2:20">
      <c r="B363" s="124"/>
      <c r="C363" s="124"/>
      <c r="D363" s="125"/>
      <c r="E363" s="124"/>
      <c r="F363" s="124"/>
      <c r="G363" s="124"/>
      <c r="H363" s="124"/>
      <c r="I363" s="124"/>
      <c r="J363" s="124"/>
      <c r="M363" s="124"/>
      <c r="N363" s="126"/>
      <c r="O363" s="124"/>
      <c r="P363" s="124"/>
      <c r="Q363" s="124"/>
      <c r="R363" s="127"/>
      <c r="S363" s="124"/>
      <c r="T363" s="124"/>
    </row>
    <row r="364" s="123" customFormat="1" ht="15" customHeight="1" spans="2:20">
      <c r="B364" s="124"/>
      <c r="C364" s="124"/>
      <c r="D364" s="125"/>
      <c r="E364" s="124"/>
      <c r="F364" s="124"/>
      <c r="G364" s="124"/>
      <c r="H364" s="124"/>
      <c r="I364" s="124"/>
      <c r="J364" s="124"/>
      <c r="M364" s="124"/>
      <c r="N364" s="126"/>
      <c r="O364" s="124"/>
      <c r="P364" s="124"/>
      <c r="Q364" s="124"/>
      <c r="R364" s="127"/>
      <c r="S364" s="124"/>
      <c r="T364" s="124"/>
    </row>
    <row r="365" s="123" customFormat="1" ht="15" customHeight="1" spans="2:20">
      <c r="B365" s="124"/>
      <c r="C365" s="124"/>
      <c r="D365" s="125"/>
      <c r="E365" s="124"/>
      <c r="F365" s="124"/>
      <c r="G365" s="124"/>
      <c r="H365" s="124"/>
      <c r="I365" s="124"/>
      <c r="J365" s="124"/>
      <c r="M365" s="124"/>
      <c r="N365" s="126"/>
      <c r="O365" s="124"/>
      <c r="P365" s="124"/>
      <c r="Q365" s="124"/>
      <c r="R365" s="127"/>
      <c r="S365" s="124"/>
      <c r="T365" s="124"/>
    </row>
    <row r="366" s="123" customFormat="1" ht="15" customHeight="1" spans="2:20">
      <c r="B366" s="124"/>
      <c r="C366" s="124"/>
      <c r="D366" s="125"/>
      <c r="E366" s="124"/>
      <c r="F366" s="124"/>
      <c r="G366" s="124"/>
      <c r="H366" s="124"/>
      <c r="I366" s="124"/>
      <c r="J366" s="124"/>
      <c r="M366" s="124"/>
      <c r="N366" s="126"/>
      <c r="O366" s="124"/>
      <c r="P366" s="124"/>
      <c r="Q366" s="124"/>
      <c r="R366" s="127"/>
      <c r="S366" s="124"/>
      <c r="T366" s="124"/>
    </row>
    <row r="367" s="123" customFormat="1" ht="15" customHeight="1" spans="2:20">
      <c r="B367" s="124"/>
      <c r="C367" s="124"/>
      <c r="D367" s="125"/>
      <c r="E367" s="124"/>
      <c r="F367" s="124"/>
      <c r="G367" s="124"/>
      <c r="H367" s="124"/>
      <c r="I367" s="124"/>
      <c r="J367" s="124"/>
      <c r="M367" s="124"/>
      <c r="N367" s="126"/>
      <c r="O367" s="124"/>
      <c r="P367" s="124"/>
      <c r="Q367" s="124"/>
      <c r="R367" s="127"/>
      <c r="S367" s="124"/>
      <c r="T367" s="124"/>
    </row>
    <row r="368" s="123" customFormat="1" ht="15" customHeight="1" spans="2:20">
      <c r="B368" s="124"/>
      <c r="C368" s="124"/>
      <c r="D368" s="125"/>
      <c r="E368" s="124"/>
      <c r="F368" s="124"/>
      <c r="G368" s="124"/>
      <c r="H368" s="124"/>
      <c r="I368" s="124"/>
      <c r="J368" s="124"/>
      <c r="M368" s="124"/>
      <c r="N368" s="126"/>
      <c r="O368" s="124"/>
      <c r="P368" s="124"/>
      <c r="Q368" s="124"/>
      <c r="R368" s="127"/>
      <c r="S368" s="124"/>
      <c r="T368" s="124"/>
    </row>
    <row r="369" s="123" customFormat="1" ht="15" customHeight="1" spans="2:20">
      <c r="B369" s="124"/>
      <c r="C369" s="124"/>
      <c r="D369" s="125"/>
      <c r="E369" s="124"/>
      <c r="F369" s="124"/>
      <c r="G369" s="124"/>
      <c r="H369" s="124"/>
      <c r="I369" s="124"/>
      <c r="J369" s="124"/>
      <c r="M369" s="124"/>
      <c r="N369" s="126"/>
      <c r="O369" s="124"/>
      <c r="P369" s="124"/>
      <c r="Q369" s="124"/>
      <c r="R369" s="127"/>
      <c r="S369" s="124"/>
      <c r="T369" s="124"/>
    </row>
    <row r="370" s="123" customFormat="1" ht="15" customHeight="1" spans="2:20">
      <c r="B370" s="124"/>
      <c r="C370" s="124"/>
      <c r="D370" s="125"/>
      <c r="E370" s="124"/>
      <c r="F370" s="124"/>
      <c r="G370" s="124"/>
      <c r="H370" s="124"/>
      <c r="I370" s="124"/>
      <c r="J370" s="124"/>
      <c r="M370" s="124"/>
      <c r="N370" s="126"/>
      <c r="O370" s="124"/>
      <c r="P370" s="124"/>
      <c r="Q370" s="124"/>
      <c r="R370" s="127"/>
      <c r="S370" s="124"/>
      <c r="T370" s="124"/>
    </row>
    <row r="371" s="123" customFormat="1" ht="15" customHeight="1" spans="2:20">
      <c r="B371" s="124"/>
      <c r="C371" s="124"/>
      <c r="D371" s="125"/>
      <c r="E371" s="124"/>
      <c r="F371" s="124"/>
      <c r="G371" s="124"/>
      <c r="H371" s="124"/>
      <c r="I371" s="124"/>
      <c r="J371" s="124"/>
      <c r="M371" s="124"/>
      <c r="N371" s="126"/>
      <c r="O371" s="124"/>
      <c r="P371" s="124"/>
      <c r="Q371" s="124"/>
      <c r="R371" s="127"/>
      <c r="S371" s="124"/>
      <c r="T371" s="124"/>
    </row>
    <row r="372" s="123" customFormat="1" ht="15" customHeight="1" spans="2:20">
      <c r="B372" s="124"/>
      <c r="C372" s="124"/>
      <c r="D372" s="125"/>
      <c r="E372" s="124"/>
      <c r="F372" s="124"/>
      <c r="G372" s="124"/>
      <c r="H372" s="124"/>
      <c r="I372" s="124"/>
      <c r="J372" s="124"/>
      <c r="M372" s="124"/>
      <c r="N372" s="126"/>
      <c r="O372" s="124"/>
      <c r="P372" s="124"/>
      <c r="Q372" s="124"/>
      <c r="R372" s="127"/>
      <c r="S372" s="124"/>
      <c r="T372" s="124"/>
    </row>
    <row r="373" s="123" customFormat="1" ht="15" customHeight="1" spans="2:20">
      <c r="B373" s="124"/>
      <c r="C373" s="124"/>
      <c r="D373" s="125"/>
      <c r="E373" s="124"/>
      <c r="F373" s="124"/>
      <c r="G373" s="124"/>
      <c r="H373" s="124"/>
      <c r="I373" s="124"/>
      <c r="J373" s="124"/>
      <c r="M373" s="124"/>
      <c r="N373" s="126"/>
      <c r="O373" s="124"/>
      <c r="P373" s="124"/>
      <c r="Q373" s="124"/>
      <c r="R373" s="127"/>
      <c r="S373" s="124"/>
      <c r="T373" s="124"/>
    </row>
    <row r="374" s="123" customFormat="1" ht="15" customHeight="1" spans="2:20">
      <c r="B374" s="124"/>
      <c r="C374" s="124"/>
      <c r="D374" s="125"/>
      <c r="E374" s="124"/>
      <c r="F374" s="124"/>
      <c r="G374" s="124"/>
      <c r="H374" s="124"/>
      <c r="I374" s="124"/>
      <c r="J374" s="124"/>
      <c r="M374" s="124"/>
      <c r="N374" s="126"/>
      <c r="O374" s="124"/>
      <c r="P374" s="124"/>
      <c r="Q374" s="124"/>
      <c r="R374" s="127"/>
      <c r="S374" s="124"/>
      <c r="T374" s="124"/>
    </row>
    <row r="375" s="123" customFormat="1" ht="15" customHeight="1" spans="2:20">
      <c r="B375" s="124"/>
      <c r="C375" s="124"/>
      <c r="D375" s="125"/>
      <c r="E375" s="124"/>
      <c r="F375" s="124"/>
      <c r="G375" s="124"/>
      <c r="H375" s="124"/>
      <c r="I375" s="124"/>
      <c r="J375" s="124"/>
      <c r="M375" s="124"/>
      <c r="N375" s="126"/>
      <c r="O375" s="124"/>
      <c r="P375" s="124"/>
      <c r="Q375" s="124"/>
      <c r="R375" s="127"/>
      <c r="S375" s="124"/>
      <c r="T375" s="124"/>
    </row>
    <row r="376" s="123" customFormat="1" ht="15" customHeight="1" spans="2:20">
      <c r="B376" s="124"/>
      <c r="C376" s="124"/>
      <c r="D376" s="125"/>
      <c r="E376" s="124"/>
      <c r="F376" s="124"/>
      <c r="G376" s="124"/>
      <c r="H376" s="124"/>
      <c r="I376" s="124"/>
      <c r="J376" s="124"/>
      <c r="M376" s="124"/>
      <c r="N376" s="126"/>
      <c r="O376" s="124"/>
      <c r="P376" s="124"/>
      <c r="Q376" s="124"/>
      <c r="R376" s="127"/>
      <c r="S376" s="124"/>
      <c r="T376" s="124"/>
    </row>
    <row r="377" s="123" customFormat="1" ht="15" customHeight="1" spans="2:20">
      <c r="B377" s="124"/>
      <c r="C377" s="124"/>
      <c r="D377" s="125"/>
      <c r="E377" s="124"/>
      <c r="F377" s="124"/>
      <c r="G377" s="124"/>
      <c r="H377" s="124"/>
      <c r="I377" s="124"/>
      <c r="J377" s="124"/>
      <c r="M377" s="124"/>
      <c r="N377" s="126"/>
      <c r="O377" s="124"/>
      <c r="P377" s="124"/>
      <c r="Q377" s="124"/>
      <c r="R377" s="127"/>
      <c r="S377" s="124"/>
      <c r="T377" s="124"/>
    </row>
    <row r="378" s="123" customFormat="1" ht="15" customHeight="1" spans="2:20">
      <c r="B378" s="124"/>
      <c r="C378" s="124"/>
      <c r="D378" s="125"/>
      <c r="E378" s="124"/>
      <c r="F378" s="124"/>
      <c r="G378" s="124"/>
      <c r="H378" s="124"/>
      <c r="I378" s="124"/>
      <c r="J378" s="124"/>
      <c r="M378" s="124"/>
      <c r="N378" s="126"/>
      <c r="O378" s="124"/>
      <c r="P378" s="124"/>
      <c r="Q378" s="124"/>
      <c r="R378" s="127"/>
      <c r="S378" s="124"/>
      <c r="T378" s="124"/>
    </row>
    <row r="379" s="123" customFormat="1" ht="15" customHeight="1" spans="2:20">
      <c r="B379" s="124"/>
      <c r="C379" s="124"/>
      <c r="D379" s="125"/>
      <c r="E379" s="124"/>
      <c r="F379" s="124"/>
      <c r="G379" s="124"/>
      <c r="H379" s="124"/>
      <c r="I379" s="124"/>
      <c r="J379" s="124"/>
      <c r="M379" s="124"/>
      <c r="N379" s="126"/>
      <c r="O379" s="124"/>
      <c r="P379" s="124"/>
      <c r="Q379" s="124"/>
      <c r="R379" s="127"/>
      <c r="S379" s="124"/>
      <c r="T379" s="124"/>
    </row>
  </sheetData>
  <mergeCells count="292">
    <mergeCell ref="A3:F3"/>
    <mergeCell ref="G3:R3"/>
    <mergeCell ref="A4:F4"/>
    <mergeCell ref="G4:R4"/>
    <mergeCell ref="A5:F5"/>
    <mergeCell ref="G5:R5"/>
    <mergeCell ref="B6:L6"/>
    <mergeCell ref="O6:P6"/>
    <mergeCell ref="O7:P7"/>
    <mergeCell ref="O8:P8"/>
    <mergeCell ref="O9:P9"/>
    <mergeCell ref="O10:P10"/>
    <mergeCell ref="O11:P11"/>
    <mergeCell ref="O12:P12"/>
    <mergeCell ref="O13:P13"/>
    <mergeCell ref="O14:P14"/>
    <mergeCell ref="O15:P15"/>
    <mergeCell ref="O16:P16"/>
    <mergeCell ref="O17:P17"/>
    <mergeCell ref="O18:P18"/>
    <mergeCell ref="O19:P19"/>
    <mergeCell ref="O20:P20"/>
    <mergeCell ref="O21:P21"/>
    <mergeCell ref="O22:P22"/>
    <mergeCell ref="O23:P23"/>
    <mergeCell ref="O24:P24"/>
    <mergeCell ref="O25:P25"/>
    <mergeCell ref="O26:P26"/>
    <mergeCell ref="O27:P27"/>
    <mergeCell ref="O28:P28"/>
    <mergeCell ref="O29:P29"/>
    <mergeCell ref="O30:P30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A59:P59"/>
    <mergeCell ref="B60:L60"/>
    <mergeCell ref="O60:P60"/>
    <mergeCell ref="B61:J61"/>
    <mergeCell ref="O61:P61"/>
    <mergeCell ref="O62:P62"/>
    <mergeCell ref="O63:P63"/>
    <mergeCell ref="O64:P64"/>
    <mergeCell ref="O65:P65"/>
    <mergeCell ref="O66:P66"/>
    <mergeCell ref="O67:P67"/>
    <mergeCell ref="O68:P68"/>
    <mergeCell ref="O69:P69"/>
    <mergeCell ref="O70:P70"/>
    <mergeCell ref="O71:P71"/>
    <mergeCell ref="O72:P72"/>
    <mergeCell ref="O73:P73"/>
    <mergeCell ref="O74:P74"/>
    <mergeCell ref="O75:P75"/>
    <mergeCell ref="O76:P76"/>
    <mergeCell ref="B77:L77"/>
    <mergeCell ref="O77:P77"/>
    <mergeCell ref="O78:P78"/>
    <mergeCell ref="O79:P79"/>
    <mergeCell ref="O80:P80"/>
    <mergeCell ref="O81:P81"/>
    <mergeCell ref="O82:P82"/>
    <mergeCell ref="O83:P83"/>
    <mergeCell ref="O84:P84"/>
    <mergeCell ref="O85:P85"/>
    <mergeCell ref="O86:P86"/>
    <mergeCell ref="O91:P91"/>
    <mergeCell ref="O92:P92"/>
    <mergeCell ref="O93:P93"/>
    <mergeCell ref="O94:P94"/>
    <mergeCell ref="O95:P95"/>
    <mergeCell ref="O96:P96"/>
    <mergeCell ref="O97:P97"/>
    <mergeCell ref="O98:P98"/>
    <mergeCell ref="O99:P99"/>
    <mergeCell ref="O100:P100"/>
    <mergeCell ref="O101:P101"/>
    <mergeCell ref="O102:P102"/>
    <mergeCell ref="O108:P108"/>
    <mergeCell ref="A119:P119"/>
    <mergeCell ref="B120:L120"/>
    <mergeCell ref="O120:P120"/>
    <mergeCell ref="B121:J121"/>
    <mergeCell ref="O121:P121"/>
    <mergeCell ref="O122:P122"/>
    <mergeCell ref="O123:P123"/>
    <mergeCell ref="O124:P124"/>
    <mergeCell ref="O125:P125"/>
    <mergeCell ref="O126:P126"/>
    <mergeCell ref="O127:P127"/>
    <mergeCell ref="O128:P128"/>
    <mergeCell ref="O129:P129"/>
    <mergeCell ref="O130:P130"/>
    <mergeCell ref="O131:P131"/>
    <mergeCell ref="O132:P132"/>
    <mergeCell ref="O133:P133"/>
    <mergeCell ref="O134:P134"/>
    <mergeCell ref="O135:P135"/>
    <mergeCell ref="O136:P136"/>
    <mergeCell ref="O137:P137"/>
    <mergeCell ref="O138:P138"/>
    <mergeCell ref="O139:P139"/>
    <mergeCell ref="O140:P140"/>
    <mergeCell ref="O141:P141"/>
    <mergeCell ref="O142:P142"/>
    <mergeCell ref="O143:P143"/>
    <mergeCell ref="O144:P144"/>
    <mergeCell ref="O145:P145"/>
    <mergeCell ref="O147:P147"/>
    <mergeCell ref="O150:P150"/>
    <mergeCell ref="O151:P151"/>
    <mergeCell ref="O152:P152"/>
    <mergeCell ref="O153:P153"/>
    <mergeCell ref="O154:P154"/>
    <mergeCell ref="O155:P155"/>
    <mergeCell ref="O156:P156"/>
    <mergeCell ref="O157:P157"/>
    <mergeCell ref="O158:P158"/>
    <mergeCell ref="O159:P159"/>
    <mergeCell ref="O160:P160"/>
    <mergeCell ref="O161:P161"/>
    <mergeCell ref="B163:L163"/>
    <mergeCell ref="O167:P167"/>
    <mergeCell ref="O173:P173"/>
    <mergeCell ref="A179:P179"/>
    <mergeCell ref="B180:L180"/>
    <mergeCell ref="O180:P180"/>
    <mergeCell ref="B181:J181"/>
    <mergeCell ref="O181:P181"/>
    <mergeCell ref="O182:P182"/>
    <mergeCell ref="O183:P183"/>
    <mergeCell ref="O184:P184"/>
    <mergeCell ref="O185:P185"/>
    <mergeCell ref="O186:P186"/>
    <mergeCell ref="O187:P187"/>
    <mergeCell ref="O192:P192"/>
    <mergeCell ref="O193:P193"/>
    <mergeCell ref="O194:P194"/>
    <mergeCell ref="O195:P195"/>
    <mergeCell ref="O196:P196"/>
    <mergeCell ref="O197:P197"/>
    <mergeCell ref="O198:P198"/>
    <mergeCell ref="O199:P199"/>
    <mergeCell ref="O200:P200"/>
    <mergeCell ref="O201:P201"/>
    <mergeCell ref="O202:P202"/>
    <mergeCell ref="O203:P203"/>
    <mergeCell ref="O204:P204"/>
    <mergeCell ref="O205:P205"/>
    <mergeCell ref="O206:P206"/>
    <mergeCell ref="O207:P207"/>
    <mergeCell ref="O208:P208"/>
    <mergeCell ref="O209:P209"/>
    <mergeCell ref="O210:P210"/>
    <mergeCell ref="O211:P211"/>
    <mergeCell ref="O212:P212"/>
    <mergeCell ref="O213:P213"/>
    <mergeCell ref="O214:P214"/>
    <mergeCell ref="O215:P215"/>
    <mergeCell ref="O216:P216"/>
    <mergeCell ref="O217:P217"/>
    <mergeCell ref="A239:P239"/>
    <mergeCell ref="B240:L240"/>
    <mergeCell ref="O240:P240"/>
    <mergeCell ref="B241:J241"/>
    <mergeCell ref="O241:P241"/>
    <mergeCell ref="O242:P242"/>
    <mergeCell ref="O243:P243"/>
    <mergeCell ref="O244:P244"/>
    <mergeCell ref="O245:P245"/>
    <mergeCell ref="O246:P246"/>
    <mergeCell ref="O247:P247"/>
    <mergeCell ref="O248:P248"/>
    <mergeCell ref="O249:P249"/>
    <mergeCell ref="O250:P250"/>
    <mergeCell ref="O251:P251"/>
    <mergeCell ref="O252:P252"/>
    <mergeCell ref="O253:P253"/>
    <mergeCell ref="O254:P254"/>
    <mergeCell ref="O255:P255"/>
    <mergeCell ref="O256:P256"/>
    <mergeCell ref="O257:P257"/>
    <mergeCell ref="O258:P258"/>
    <mergeCell ref="O259:P259"/>
    <mergeCell ref="O260:P260"/>
    <mergeCell ref="O261:P261"/>
    <mergeCell ref="O262:P262"/>
    <mergeCell ref="O263:P263"/>
    <mergeCell ref="O264:P264"/>
    <mergeCell ref="O265:P265"/>
    <mergeCell ref="O266:P266"/>
    <mergeCell ref="O267:P267"/>
    <mergeCell ref="O268:P268"/>
    <mergeCell ref="O269:P269"/>
    <mergeCell ref="O270:P270"/>
    <mergeCell ref="O271:P271"/>
    <mergeCell ref="O272:P272"/>
    <mergeCell ref="O273:P273"/>
    <mergeCell ref="O274:P274"/>
    <mergeCell ref="O275:P275"/>
    <mergeCell ref="O284:P284"/>
    <mergeCell ref="O287:P287"/>
    <mergeCell ref="A293:P293"/>
    <mergeCell ref="H294:I294"/>
    <mergeCell ref="O294:P294"/>
    <mergeCell ref="O295:P295"/>
    <mergeCell ref="H296:I296"/>
    <mergeCell ref="O296:P296"/>
    <mergeCell ref="B297:J297"/>
    <mergeCell ref="O297:P297"/>
    <mergeCell ref="O298:P298"/>
    <mergeCell ref="B300:J300"/>
    <mergeCell ref="B303:J303"/>
    <mergeCell ref="B306:J306"/>
    <mergeCell ref="B309:P309"/>
    <mergeCell ref="K310:L310"/>
    <mergeCell ref="O310:P310"/>
    <mergeCell ref="O311:P311"/>
    <mergeCell ref="L312:N312"/>
    <mergeCell ref="O312:P312"/>
    <mergeCell ref="L313:N313"/>
    <mergeCell ref="O313:P313"/>
    <mergeCell ref="O314:P314"/>
    <mergeCell ref="E315:I315"/>
    <mergeCell ref="O315:P315"/>
    <mergeCell ref="E316:I316"/>
    <mergeCell ref="O316:P316"/>
    <mergeCell ref="E317:I317"/>
    <mergeCell ref="O317:P317"/>
    <mergeCell ref="E318:I318"/>
    <mergeCell ref="O318:P318"/>
    <mergeCell ref="E319:I319"/>
    <mergeCell ref="O319:P319"/>
    <mergeCell ref="E320:I320"/>
    <mergeCell ref="O320:P320"/>
    <mergeCell ref="O321:P321"/>
    <mergeCell ref="O322:P322"/>
    <mergeCell ref="O323:P323"/>
    <mergeCell ref="O324:P324"/>
    <mergeCell ref="O325:P325"/>
    <mergeCell ref="O326:P326"/>
    <mergeCell ref="H327:I327"/>
    <mergeCell ref="O327:P327"/>
    <mergeCell ref="H328:I328"/>
    <mergeCell ref="O328:P328"/>
    <mergeCell ref="H329:I329"/>
    <mergeCell ref="O329:P329"/>
    <mergeCell ref="H330:I330"/>
    <mergeCell ref="O330:P330"/>
    <mergeCell ref="H331:I331"/>
    <mergeCell ref="O331:P331"/>
    <mergeCell ref="H332:I332"/>
    <mergeCell ref="O332:P332"/>
    <mergeCell ref="H333:I333"/>
    <mergeCell ref="O333:P333"/>
    <mergeCell ref="H334:I334"/>
    <mergeCell ref="O334:P334"/>
    <mergeCell ref="H335:I335"/>
    <mergeCell ref="H336:I336"/>
    <mergeCell ref="H337:I337"/>
    <mergeCell ref="O337:P337"/>
    <mergeCell ref="H338:I338"/>
    <mergeCell ref="O338:P338"/>
    <mergeCell ref="H339:I339"/>
    <mergeCell ref="O339:P339"/>
    <mergeCell ref="H340:I340"/>
    <mergeCell ref="O340:P340"/>
    <mergeCell ref="H341:I341"/>
    <mergeCell ref="O341:P341"/>
    <mergeCell ref="H342:I342"/>
    <mergeCell ref="O342:P342"/>
    <mergeCell ref="H343:I343"/>
    <mergeCell ref="O343:P343"/>
    <mergeCell ref="H344:I344"/>
    <mergeCell ref="O344:P344"/>
    <mergeCell ref="H345:I345"/>
    <mergeCell ref="O345:P345"/>
    <mergeCell ref="H346:I346"/>
    <mergeCell ref="O346:P346"/>
    <mergeCell ref="H347:I347"/>
    <mergeCell ref="O347:P347"/>
    <mergeCell ref="H348:I348"/>
    <mergeCell ref="H349:I349"/>
    <mergeCell ref="H350:I350"/>
    <mergeCell ref="A1:R2"/>
  </mergeCells>
  <pageMargins left="0.393700787401575" right="0.393700787401575" top="0.393700787401575" bottom="0.393700787401575" header="0.196850393700787" footer="0.31496062992126"/>
  <pageSetup paperSize="9" scale="23" fitToHeight="0" orientation="portrait" horizontalDpi="600" verticalDpi="600"/>
  <headerFooter/>
  <rowBreaks count="2" manualBreakCount="2">
    <brk id="59" max="16383" man="1"/>
    <brk id="29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9"/>
  <sheetViews>
    <sheetView showGridLines="0" tabSelected="1" topLeftCell="A11" workbookViewId="0">
      <selection activeCell="J23" sqref="J23"/>
    </sheetView>
  </sheetViews>
  <sheetFormatPr defaultColWidth="9" defaultRowHeight="15"/>
  <cols>
    <col min="6" max="6" width="10" customWidth="1"/>
  </cols>
  <sheetData>
    <row r="2" ht="18" spans="1:9">
      <c r="A2" s="109" t="s">
        <v>240</v>
      </c>
      <c r="B2" s="109"/>
      <c r="C2" s="109"/>
      <c r="D2" s="109"/>
      <c r="E2" s="109"/>
      <c r="F2" s="109"/>
      <c r="G2" s="109"/>
      <c r="H2" s="109"/>
      <c r="I2" s="109"/>
    </row>
    <row r="3" ht="18" spans="1:9">
      <c r="A3" s="109" t="s">
        <v>241</v>
      </c>
      <c r="B3" s="109"/>
      <c r="C3" s="109"/>
      <c r="D3" s="109"/>
      <c r="E3" s="109"/>
      <c r="F3" s="109"/>
      <c r="G3" s="109"/>
      <c r="H3" s="109"/>
      <c r="I3" s="109"/>
    </row>
    <row r="5" ht="15.75" spans="1:9">
      <c r="A5" s="110" t="s">
        <v>242</v>
      </c>
      <c r="B5" s="110"/>
      <c r="C5" s="110"/>
      <c r="D5" s="110"/>
      <c r="E5" s="110"/>
      <c r="F5" s="110"/>
      <c r="G5" s="110"/>
      <c r="H5" s="110"/>
      <c r="I5" s="110"/>
    </row>
    <row r="6" ht="15.75" spans="1:9">
      <c r="A6" s="111" t="s">
        <v>243</v>
      </c>
      <c r="B6" s="111"/>
      <c r="C6" s="111"/>
      <c r="D6" s="111"/>
      <c r="E6" s="111"/>
      <c r="F6" s="111"/>
      <c r="G6" s="111"/>
      <c r="H6" s="111"/>
      <c r="I6" s="111"/>
    </row>
    <row r="8" ht="15.75" spans="1:9">
      <c r="A8" s="112" t="s">
        <v>244</v>
      </c>
      <c r="B8" s="112"/>
      <c r="C8" s="112"/>
      <c r="D8" s="112"/>
      <c r="F8" s="112" t="s">
        <v>245</v>
      </c>
      <c r="G8" s="112"/>
      <c r="H8" s="112"/>
    </row>
    <row r="9" ht="66.75" customHeight="1" spans="1:9">
      <c r="F9" s="8" t="s">
        <v>246</v>
      </c>
      <c r="G9" s="8"/>
      <c r="H9" s="8"/>
      <c r="I9" s="8"/>
    </row>
    <row r="11" ht="15.75" spans="1:9">
      <c r="A11" s="113" t="s">
        <v>247</v>
      </c>
      <c r="B11" s="11" t="s">
        <v>248</v>
      </c>
      <c r="F11" s="396" t="s">
        <v>249</v>
      </c>
      <c r="G11" s="114"/>
      <c r="H11" s="114"/>
    </row>
    <row r="12" ht="63" customHeight="1" spans="1:9">
      <c r="A12" s="113" t="s">
        <v>250</v>
      </c>
      <c r="B12" s="8" t="s">
        <v>251</v>
      </c>
      <c r="C12" s="8"/>
      <c r="D12" s="8"/>
    </row>
    <row r="14" ht="15.75" spans="1:9">
      <c r="A14" s="11" t="s">
        <v>252</v>
      </c>
    </row>
    <row r="15" ht="15.75" spans="1:9">
      <c r="A15" s="18" t="s">
        <v>253</v>
      </c>
    </row>
    <row r="17" ht="53.25" customHeight="1" spans="1:9">
      <c r="A17" s="16" t="s">
        <v>254</v>
      </c>
      <c r="B17" s="16"/>
      <c r="C17" s="16"/>
      <c r="D17" s="16"/>
      <c r="E17" s="16"/>
      <c r="F17" s="16"/>
      <c r="G17" s="16"/>
      <c r="H17" s="16"/>
      <c r="I17" s="16"/>
    </row>
    <row r="19" ht="15.75" spans="1:9">
      <c r="A19" s="115" t="s">
        <v>255</v>
      </c>
      <c r="B19" s="115"/>
      <c r="C19" s="115"/>
      <c r="D19" s="115"/>
      <c r="E19" s="115"/>
      <c r="F19" s="115"/>
      <c r="G19" s="115"/>
      <c r="H19" s="115"/>
      <c r="I19" s="115"/>
    </row>
    <row r="20" ht="15.75" spans="1:9">
      <c r="A20" s="115" t="s">
        <v>256</v>
      </c>
      <c r="B20" s="115"/>
      <c r="C20" s="115"/>
      <c r="D20" s="115"/>
      <c r="E20" s="115"/>
      <c r="F20" s="115"/>
      <c r="G20" s="115"/>
      <c r="H20" s="115"/>
      <c r="I20" s="115"/>
    </row>
    <row r="21" ht="15.75" spans="1:9">
      <c r="A21" s="115" t="s">
        <v>257</v>
      </c>
      <c r="B21" s="115"/>
      <c r="C21" s="115"/>
      <c r="D21" s="115"/>
      <c r="E21" s="115"/>
      <c r="F21" s="115"/>
      <c r="G21" s="115"/>
      <c r="H21" s="115"/>
      <c r="I21" s="115"/>
    </row>
    <row r="22" ht="15.75" spans="1:9">
      <c r="A22" s="115" t="s">
        <v>258</v>
      </c>
      <c r="B22" s="115"/>
      <c r="C22" s="115"/>
      <c r="D22" s="115"/>
      <c r="E22" s="115"/>
      <c r="F22" s="115"/>
      <c r="G22" s="115"/>
      <c r="H22" s="115"/>
      <c r="I22" s="115"/>
    </row>
    <row r="23" ht="15.75" spans="1:9">
      <c r="A23" s="115" t="s">
        <v>259</v>
      </c>
      <c r="B23" s="115"/>
      <c r="C23" s="115"/>
      <c r="D23" s="115"/>
      <c r="E23" s="115"/>
      <c r="F23" s="115"/>
      <c r="G23" s="115"/>
      <c r="H23" s="115"/>
      <c r="I23" s="115"/>
    </row>
    <row r="24" ht="15.75" spans="1:9">
      <c r="A24" s="116" t="s">
        <v>260</v>
      </c>
      <c r="B24" s="115"/>
      <c r="C24" s="115"/>
      <c r="D24" s="115"/>
      <c r="E24" s="115"/>
      <c r="F24" s="115"/>
      <c r="G24" s="115"/>
      <c r="H24" s="115"/>
      <c r="I24" s="115"/>
    </row>
    <row r="25" ht="15.75" spans="1:9">
      <c r="A25" s="117" t="s">
        <v>261</v>
      </c>
      <c r="B25" s="117"/>
      <c r="C25" s="117"/>
      <c r="D25" s="117"/>
      <c r="E25" s="117"/>
      <c r="F25" s="117"/>
      <c r="G25" s="117"/>
      <c r="H25" s="117"/>
      <c r="I25" s="117"/>
    </row>
    <row r="32" ht="15.75" spans="1:9">
      <c r="A32" s="20" t="s">
        <v>262</v>
      </c>
      <c r="B32" s="20"/>
      <c r="C32" s="20"/>
      <c r="D32" s="20"/>
      <c r="E32" s="20"/>
      <c r="F32" s="20" t="s">
        <v>263</v>
      </c>
      <c r="G32" s="20"/>
      <c r="I32" s="20"/>
    </row>
    <row r="33" ht="15.75" spans="1:9">
      <c r="A33" s="20"/>
      <c r="B33" s="20"/>
      <c r="C33" s="20"/>
      <c r="D33" s="20"/>
      <c r="E33" s="20"/>
      <c r="F33" s="20"/>
      <c r="G33" s="20"/>
      <c r="H33" s="20"/>
      <c r="I33" s="20"/>
    </row>
    <row r="34" ht="15.75" spans="1:9">
      <c r="A34" s="20"/>
      <c r="B34" s="20"/>
      <c r="C34" s="20"/>
      <c r="D34" s="20"/>
      <c r="E34" s="20"/>
      <c r="F34" s="20"/>
      <c r="G34" s="20"/>
      <c r="H34" s="20"/>
      <c r="I34" s="20"/>
    </row>
    <row r="35" ht="15.75" spans="1:9">
      <c r="A35" s="118"/>
      <c r="B35" s="118"/>
      <c r="C35" s="118"/>
      <c r="D35" s="118"/>
      <c r="E35" s="20"/>
      <c r="F35" s="119"/>
      <c r="G35" s="119"/>
      <c r="H35" s="119"/>
      <c r="I35" s="119"/>
    </row>
    <row r="36" ht="15.75" spans="1:9">
      <c r="A36" s="20" t="s">
        <v>264</v>
      </c>
      <c r="B36" s="20"/>
      <c r="C36" s="20"/>
      <c r="E36" s="20"/>
      <c r="F36" s="20" t="s">
        <v>265</v>
      </c>
      <c r="G36" s="20"/>
      <c r="H36" s="20"/>
      <c r="I36" s="20"/>
    </row>
    <row r="37" ht="15.75" spans="1:9">
      <c r="A37" s="20" t="s">
        <v>266</v>
      </c>
      <c r="B37" s="20"/>
      <c r="C37" s="20"/>
      <c r="D37" s="20"/>
      <c r="E37" s="20"/>
      <c r="F37" s="20" t="s">
        <v>266</v>
      </c>
      <c r="G37" s="20"/>
      <c r="H37" s="20"/>
      <c r="I37" s="20"/>
    </row>
    <row r="38" ht="15.75" spans="1:9">
      <c r="A38" s="20" t="s">
        <v>267</v>
      </c>
      <c r="B38" s="20"/>
      <c r="C38" s="20"/>
      <c r="D38" s="20"/>
      <c r="E38" s="20"/>
      <c r="F38" s="20" t="s">
        <v>267</v>
      </c>
      <c r="G38" s="20"/>
      <c r="H38" s="20"/>
      <c r="I38" s="20"/>
    </row>
    <row r="39" ht="15.75" spans="1:9">
      <c r="A39" s="20"/>
      <c r="B39" s="20"/>
      <c r="C39" s="20"/>
      <c r="D39" s="20"/>
      <c r="E39" s="20"/>
      <c r="F39" s="20"/>
      <c r="G39" s="20"/>
      <c r="H39" s="20"/>
      <c r="I39" s="20"/>
    </row>
  </sheetData>
  <mergeCells count="17">
    <mergeCell ref="A2:I2"/>
    <mergeCell ref="A3:I3"/>
    <mergeCell ref="A5:I5"/>
    <mergeCell ref="A6:I6"/>
    <mergeCell ref="A8:D8"/>
    <mergeCell ref="F8:H8"/>
    <mergeCell ref="F9:I9"/>
    <mergeCell ref="F11:H11"/>
    <mergeCell ref="B12:D12"/>
    <mergeCell ref="A17:I17"/>
    <mergeCell ref="A19:I19"/>
    <mergeCell ref="A20:I20"/>
    <mergeCell ref="A21:I21"/>
    <mergeCell ref="A22:I22"/>
    <mergeCell ref="A23:I23"/>
    <mergeCell ref="A24:I24"/>
    <mergeCell ref="A25:I25"/>
  </mergeCells>
  <printOptions horizontalCentered="1"/>
  <pageMargins left="0" right="0" top="0" bottom="0" header="0.31496062992126" footer="0.31496062992126"/>
  <pageSetup paperSize="9" orientation="portrait" horizontalDpi="600" vertic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1"/>
  <sheetViews>
    <sheetView view="pageBreakPreview" zoomScale="80" zoomScaleNormal="100" topLeftCell="A8" workbookViewId="0">
      <selection activeCell="R42" sqref="R42"/>
    </sheetView>
  </sheetViews>
  <sheetFormatPr defaultColWidth="9.14074074074074" defaultRowHeight="15"/>
  <cols>
    <col min="1" max="1" width="11.7111111111111" customWidth="1"/>
    <col min="2" max="2" width="9.14074074074074" customWidth="1"/>
  </cols>
  <sheetData>
    <row r="1" ht="28.35" customHeight="1" spans="1:13">
      <c r="A1" s="89" t="s">
        <v>2</v>
      </c>
      <c r="B1" s="90" t="str">
        <f>BQ!A3</f>
        <v>JALAN SG 6/14 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</row>
    <row r="2" ht="28.35" customHeight="1" spans="1:13">
      <c r="A2" s="92" t="s">
        <v>268</v>
      </c>
      <c r="B2" s="93">
        <f>BQ!E3</f>
        <v>0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</row>
    <row r="3" ht="28.35" customHeight="1" spans="1:13">
      <c r="A3" s="95" t="s">
        <v>269</v>
      </c>
      <c r="B3" s="96" t="s">
        <v>270</v>
      </c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</row>
    <row r="4" ht="15.75" spans="1:13">
      <c r="D4" s="98">
        <f>B2</f>
        <v>0</v>
      </c>
      <c r="E4" s="99"/>
      <c r="F4" s="99"/>
      <c r="G4" s="99"/>
      <c r="H4" s="99"/>
      <c r="I4" s="100"/>
    </row>
    <row r="5" ht="15.75"/>
    <row r="6" ht="15.75" spans="1:13">
      <c r="A6" s="101"/>
      <c r="B6" s="102"/>
      <c r="C6" s="102"/>
      <c r="D6" s="102"/>
      <c r="E6" s="102"/>
      <c r="F6" s="103"/>
      <c r="G6" s="102"/>
      <c r="H6" s="102"/>
      <c r="I6" s="102"/>
      <c r="J6" s="102"/>
      <c r="K6" s="102"/>
      <c r="L6" s="102"/>
      <c r="M6" s="103"/>
    </row>
    <row r="7" spans="1:13">
      <c r="A7" s="104"/>
      <c r="F7" s="105"/>
      <c r="M7" s="105"/>
    </row>
    <row r="8" spans="1:13">
      <c r="A8" s="104"/>
      <c r="F8" s="105"/>
      <c r="M8" s="105"/>
    </row>
    <row r="9" spans="1:13">
      <c r="A9" s="104"/>
      <c r="F9" s="105"/>
      <c r="M9" s="105"/>
    </row>
    <row r="10" spans="1:13">
      <c r="A10" s="104"/>
      <c r="F10" s="105"/>
      <c r="M10" s="105"/>
    </row>
    <row r="11" spans="1:13">
      <c r="A11" s="104"/>
      <c r="F11" s="105"/>
      <c r="M11" s="105"/>
    </row>
    <row r="12" spans="1:13">
      <c r="A12" s="104"/>
      <c r="F12" s="105"/>
      <c r="M12" s="105"/>
    </row>
    <row r="13" spans="1:13">
      <c r="A13" s="104"/>
      <c r="F13" s="105"/>
      <c r="M13" s="105"/>
    </row>
    <row r="14" spans="1:13">
      <c r="A14" s="104"/>
      <c r="F14" s="105"/>
      <c r="M14" s="105"/>
    </row>
    <row r="15" spans="1:13">
      <c r="A15" s="104"/>
      <c r="F15" s="105"/>
      <c r="M15" s="105"/>
    </row>
    <row r="16" spans="1:13">
      <c r="A16" s="104"/>
      <c r="F16" s="105"/>
      <c r="M16" s="105"/>
    </row>
    <row r="17" spans="1:13">
      <c r="A17" s="104"/>
      <c r="F17" s="105"/>
      <c r="M17" s="105"/>
    </row>
    <row r="18" spans="1:13">
      <c r="A18" s="104"/>
      <c r="F18" s="105"/>
      <c r="M18" s="105"/>
    </row>
    <row r="19" spans="1:13">
      <c r="A19" s="104"/>
      <c r="F19" s="105"/>
      <c r="M19" s="105"/>
    </row>
    <row r="20" spans="1:13">
      <c r="A20" s="104"/>
      <c r="F20" s="105"/>
      <c r="M20" s="105"/>
    </row>
    <row r="21" spans="1:13">
      <c r="A21" s="104"/>
      <c r="F21" s="105"/>
      <c r="M21" s="105"/>
    </row>
    <row r="22" spans="1:13">
      <c r="A22" s="104"/>
      <c r="F22" s="105"/>
      <c r="M22" s="105"/>
    </row>
    <row r="23" spans="1:13">
      <c r="A23" s="104"/>
      <c r="F23" s="105"/>
      <c r="M23" s="105"/>
    </row>
    <row r="24" spans="1:13">
      <c r="A24" s="104"/>
      <c r="F24" s="105"/>
      <c r="M24" s="105"/>
    </row>
    <row r="25" spans="1:13">
      <c r="A25" s="104"/>
      <c r="F25" s="105"/>
      <c r="M25" s="105"/>
    </row>
    <row r="26" spans="1:13">
      <c r="A26" s="104"/>
      <c r="F26" s="105"/>
      <c r="M26" s="105"/>
    </row>
    <row r="27" spans="1:13">
      <c r="A27" s="104"/>
      <c r="F27" s="105"/>
      <c r="M27" s="105"/>
    </row>
    <row r="28" spans="1:13">
      <c r="A28" s="104"/>
      <c r="F28" s="105"/>
      <c r="M28" s="105"/>
    </row>
    <row r="29" spans="1:13">
      <c r="A29" s="104"/>
      <c r="F29" s="105"/>
      <c r="M29" s="105"/>
    </row>
    <row r="30" ht="15.75" spans="1:13">
      <c r="A30" s="106"/>
      <c r="B30" s="107"/>
      <c r="C30" s="107"/>
      <c r="D30" s="107"/>
      <c r="E30" s="107"/>
      <c r="F30" s="108"/>
      <c r="G30" s="107"/>
      <c r="H30" s="107"/>
      <c r="I30" s="107"/>
      <c r="J30" s="107"/>
      <c r="K30" s="107"/>
      <c r="L30" s="107"/>
      <c r="M30" s="108"/>
    </row>
    <row r="31" ht="16.5" spans="1:13">
      <c r="A31" s="89" t="s">
        <v>2</v>
      </c>
      <c r="B31" s="90" t="e">
        <f>#REF!</f>
        <v>#REF!</v>
      </c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</row>
    <row r="32" ht="16.5" spans="1:13">
      <c r="A32" s="92" t="s">
        <v>268</v>
      </c>
      <c r="B32" s="93" t="e">
        <f>#REF!</f>
        <v>#REF!</v>
      </c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</row>
    <row r="33" ht="15.75" spans="1:13">
      <c r="A33" s="95" t="s">
        <v>269</v>
      </c>
      <c r="B33" s="96" t="s">
        <v>270</v>
      </c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</row>
    <row r="34" ht="15.75" spans="1:13">
      <c r="D34" s="98" t="e">
        <f>B32</f>
        <v>#REF!</v>
      </c>
      <c r="E34" s="99"/>
      <c r="F34" s="99"/>
      <c r="G34" s="99"/>
      <c r="H34" s="99"/>
      <c r="I34" s="100"/>
    </row>
    <row r="35" ht="15.75"/>
    <row r="36" ht="15.75" spans="1:13">
      <c r="A36" s="101"/>
      <c r="B36" s="102"/>
      <c r="C36" s="102"/>
      <c r="D36" s="102"/>
      <c r="E36" s="102"/>
      <c r="F36" s="103"/>
      <c r="G36" s="102"/>
      <c r="H36" s="102"/>
      <c r="I36" s="102"/>
      <c r="J36" s="102"/>
      <c r="K36" s="102"/>
      <c r="L36" s="102"/>
      <c r="M36" s="103"/>
    </row>
    <row r="37" spans="1:13">
      <c r="A37" s="104"/>
      <c r="F37" s="105"/>
      <c r="M37" s="105"/>
    </row>
    <row r="38" spans="1:13">
      <c r="A38" s="104"/>
      <c r="F38" s="105"/>
      <c r="M38" s="105"/>
    </row>
    <row r="39" spans="1:13">
      <c r="A39" s="104"/>
      <c r="F39" s="105"/>
      <c r="M39" s="105"/>
    </row>
    <row r="40" spans="1:13">
      <c r="A40" s="104"/>
      <c r="F40" s="105"/>
      <c r="M40" s="105"/>
    </row>
    <row r="41" spans="1:13">
      <c r="A41" s="104"/>
      <c r="F41" s="105"/>
      <c r="M41" s="105"/>
    </row>
    <row r="42" spans="1:13">
      <c r="A42" s="104"/>
      <c r="F42" s="105"/>
      <c r="M42" s="105"/>
    </row>
    <row r="43" spans="1:13">
      <c r="A43" s="104"/>
      <c r="F43" s="105"/>
      <c r="M43" s="105"/>
    </row>
    <row r="44" spans="1:13">
      <c r="A44" s="104"/>
      <c r="F44" s="105"/>
      <c r="M44" s="105"/>
    </row>
    <row r="45" spans="1:13">
      <c r="A45" s="104"/>
      <c r="F45" s="105"/>
      <c r="M45" s="105"/>
    </row>
    <row r="46" spans="1:13">
      <c r="A46" s="104"/>
      <c r="F46" s="105"/>
      <c r="M46" s="105"/>
    </row>
    <row r="47" spans="1:13">
      <c r="A47" s="104"/>
      <c r="F47" s="105"/>
      <c r="M47" s="105"/>
    </row>
    <row r="48" spans="1:13">
      <c r="A48" s="104"/>
      <c r="F48" s="105"/>
      <c r="M48" s="105"/>
    </row>
    <row r="49" spans="1:13">
      <c r="A49" s="104"/>
      <c r="F49" s="105"/>
      <c r="M49" s="105"/>
    </row>
    <row r="50" spans="1:13">
      <c r="A50" s="104"/>
      <c r="F50" s="105"/>
      <c r="M50" s="105"/>
    </row>
    <row r="51" spans="1:13">
      <c r="A51" s="104"/>
      <c r="F51" s="105"/>
      <c r="M51" s="105"/>
    </row>
    <row r="52" spans="1:13">
      <c r="A52" s="104"/>
      <c r="F52" s="105"/>
      <c r="M52" s="105"/>
    </row>
    <row r="53" spans="1:13">
      <c r="A53" s="104"/>
      <c r="F53" s="105"/>
      <c r="M53" s="105"/>
    </row>
    <row r="54" spans="1:13">
      <c r="A54" s="104"/>
      <c r="F54" s="105"/>
      <c r="M54" s="105"/>
    </row>
    <row r="55" spans="1:13">
      <c r="A55" s="104"/>
      <c r="F55" s="105"/>
      <c r="M55" s="105"/>
    </row>
    <row r="56" spans="1:13">
      <c r="A56" s="104"/>
      <c r="F56" s="105"/>
      <c r="M56" s="105"/>
    </row>
    <row r="57" spans="1:13">
      <c r="A57" s="104"/>
      <c r="F57" s="105"/>
      <c r="M57" s="105"/>
    </row>
    <row r="58" spans="1:13">
      <c r="A58" s="104"/>
      <c r="F58" s="105"/>
      <c r="M58" s="105"/>
    </row>
    <row r="59" spans="1:13">
      <c r="A59" s="104"/>
      <c r="F59" s="105"/>
      <c r="M59" s="105"/>
    </row>
    <row r="60" ht="15.75" spans="1:13">
      <c r="A60" s="106"/>
      <c r="B60" s="107"/>
      <c r="C60" s="107"/>
      <c r="D60" s="107"/>
      <c r="E60" s="107"/>
      <c r="F60" s="108"/>
      <c r="G60" s="107"/>
      <c r="H60" s="107"/>
      <c r="I60" s="107"/>
      <c r="J60" s="107"/>
      <c r="K60" s="107"/>
      <c r="L60" s="107"/>
      <c r="M60" s="108"/>
    </row>
    <row r="61" ht="15.75"/>
  </sheetData>
  <mergeCells count="8">
    <mergeCell ref="B1:M1"/>
    <mergeCell ref="B2:M2"/>
    <mergeCell ref="B3:M3"/>
    <mergeCell ref="D4:I4"/>
    <mergeCell ref="B31:M31"/>
    <mergeCell ref="B32:M32"/>
    <mergeCell ref="B33:M33"/>
    <mergeCell ref="D34:I34"/>
  </mergeCells>
  <printOptions horizontalCentered="1"/>
  <pageMargins left="0.708661417322835" right="0.708661417322835" top="0.748031496062992" bottom="0.748031496062992" header="0.31496062992126" footer="0.31496062992126"/>
  <pageSetup paperSize="9" scale="99" orientation="landscape" horizontalDpi="600" verticalDpi="6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9"/>
  <sheetViews>
    <sheetView showGridLines="0" zoomScale="115" zoomScaleNormal="115" zoomScaleSheetLayoutView="85" topLeftCell="A66" workbookViewId="0">
      <selection activeCell="L67" sqref="L67"/>
    </sheetView>
  </sheetViews>
  <sheetFormatPr defaultColWidth="9" defaultRowHeight="15"/>
  <cols>
    <col min="1" max="1" width="9.14074074074074" style="1"/>
    <col min="2" max="2" width="10.7111111111111" style="1" customWidth="1"/>
    <col min="3" max="5" width="9.14074074074074" style="1"/>
    <col min="6" max="6" width="10" style="1" customWidth="1"/>
    <col min="7" max="8" width="9.14074074074074" style="1"/>
    <col min="9" max="9" width="9.14074074074074" style="1" customWidth="1"/>
    <col min="10" max="16384" width="9.14074074074074" style="1"/>
  </cols>
  <sheetData>
    <row r="1" ht="15.75" spans="1:9">
      <c r="A1" s="21"/>
      <c r="B1" s="21"/>
      <c r="C1" s="21"/>
      <c r="D1" s="21"/>
      <c r="E1" s="21"/>
      <c r="F1" s="21"/>
      <c r="G1" s="21"/>
      <c r="H1" s="21"/>
      <c r="I1" s="21"/>
    </row>
    <row r="2" ht="15.75" spans="1:9">
      <c r="A2" s="21" t="s">
        <v>271</v>
      </c>
      <c r="B2" s="21"/>
      <c r="C2" s="21"/>
      <c r="D2" s="21"/>
      <c r="E2" s="21"/>
      <c r="F2" s="21"/>
      <c r="G2" s="21"/>
      <c r="H2" s="21"/>
      <c r="I2" s="21"/>
    </row>
    <row r="3" ht="15.75" spans="1:9">
      <c r="A3" s="21" t="s">
        <v>241</v>
      </c>
      <c r="B3" s="21"/>
      <c r="C3" s="21"/>
      <c r="D3" s="21"/>
      <c r="E3" s="21"/>
      <c r="F3" s="21"/>
      <c r="G3" s="21"/>
      <c r="H3" s="21"/>
      <c r="I3" s="21"/>
    </row>
    <row r="4" spans="1:9">
      <c r="A4" s="22" t="s">
        <v>272</v>
      </c>
      <c r="B4" s="22"/>
      <c r="C4" s="22"/>
      <c r="D4" s="22"/>
      <c r="E4" s="22"/>
      <c r="F4" s="22"/>
      <c r="G4" s="22"/>
      <c r="H4" s="22"/>
      <c r="I4" s="22"/>
    </row>
    <row r="5" spans="1:9">
      <c r="A5" s="22" t="s">
        <v>273</v>
      </c>
      <c r="B5" s="22"/>
      <c r="C5" s="22"/>
      <c r="D5" s="22"/>
      <c r="E5" s="22"/>
      <c r="F5" s="22"/>
      <c r="G5" s="22"/>
      <c r="H5" s="22"/>
      <c r="I5" s="22"/>
    </row>
    <row r="6" spans="1:9">
      <c r="A6" s="23" t="s">
        <v>274</v>
      </c>
      <c r="B6" s="23"/>
      <c r="C6" s="23"/>
      <c r="D6" s="23"/>
      <c r="E6" s="23"/>
      <c r="F6" s="23"/>
      <c r="G6" s="23"/>
      <c r="H6" s="23"/>
      <c r="I6" s="23"/>
    </row>
    <row r="7" spans="1:9">
      <c r="A7" s="4"/>
      <c r="B7" s="5"/>
      <c r="C7" s="5"/>
      <c r="D7" s="5"/>
      <c r="E7" s="5"/>
      <c r="F7" s="5"/>
      <c r="G7" s="5"/>
      <c r="H7" s="5"/>
      <c r="I7" s="5"/>
    </row>
    <row r="8" ht="15.75" spans="1:9">
      <c r="A8" s="7" t="s">
        <v>275</v>
      </c>
      <c r="B8" s="5"/>
      <c r="C8" s="5"/>
      <c r="D8" s="5"/>
      <c r="E8" s="5"/>
      <c r="F8" s="5"/>
      <c r="G8" s="5"/>
      <c r="H8" s="5"/>
      <c r="I8" s="5"/>
    </row>
    <row r="9" ht="14.25" customHeight="1" spans="1:9">
      <c r="F9" s="8"/>
      <c r="G9" s="8"/>
      <c r="H9" s="8"/>
      <c r="I9" s="8"/>
    </row>
    <row r="10" ht="14.25" customHeight="1" spans="1:9">
      <c r="A10" s="24" t="s">
        <v>276</v>
      </c>
      <c r="B10" s="25"/>
      <c r="C10" s="26" t="s">
        <v>277</v>
      </c>
      <c r="D10" s="27"/>
      <c r="E10" s="27"/>
      <c r="F10" s="27"/>
      <c r="G10" s="27"/>
      <c r="H10" s="27"/>
      <c r="I10" s="28"/>
    </row>
    <row r="11" spans="1:9">
      <c r="A11" s="29"/>
      <c r="B11" s="30"/>
      <c r="C11" s="31"/>
      <c r="D11" s="32"/>
      <c r="E11" s="32"/>
      <c r="F11" s="32"/>
      <c r="G11" s="32"/>
      <c r="H11" s="32"/>
      <c r="I11" s="33"/>
    </row>
    <row r="12" customHeight="1" spans="1:9">
      <c r="A12" s="34" t="s">
        <v>278</v>
      </c>
      <c r="B12" s="35"/>
      <c r="C12" s="36" t="s">
        <v>279</v>
      </c>
      <c r="D12" s="36"/>
      <c r="E12" s="36"/>
      <c r="F12" s="36"/>
      <c r="G12" s="36"/>
      <c r="H12" s="36"/>
      <c r="I12" s="37"/>
    </row>
    <row r="13" spans="1:9">
      <c r="A13" s="38"/>
      <c r="B13" s="39"/>
      <c r="C13" s="40" t="s">
        <v>280</v>
      </c>
      <c r="D13" s="40"/>
      <c r="E13" s="40"/>
      <c r="F13" s="40"/>
      <c r="G13" s="40"/>
      <c r="H13" s="40"/>
      <c r="I13" s="41"/>
    </row>
    <row r="14" spans="1:9">
      <c r="A14" s="42"/>
      <c r="B14" s="39"/>
      <c r="C14" s="40" t="s">
        <v>281</v>
      </c>
      <c r="D14" s="40"/>
      <c r="E14" s="40"/>
      <c r="F14" s="40"/>
      <c r="G14" s="40"/>
      <c r="H14" s="40"/>
      <c r="I14" s="41"/>
    </row>
    <row r="15" spans="1:9">
      <c r="A15" s="38"/>
      <c r="B15" s="39"/>
      <c r="C15" s="40" t="s">
        <v>282</v>
      </c>
      <c r="D15" s="40"/>
      <c r="E15" s="40"/>
      <c r="F15" s="40"/>
      <c r="G15" s="40"/>
      <c r="H15" s="40"/>
      <c r="I15" s="41"/>
    </row>
    <row r="16" spans="1:9">
      <c r="A16" s="38"/>
      <c r="B16" s="39"/>
      <c r="C16" s="40"/>
      <c r="D16" s="40"/>
      <c r="E16" s="40"/>
      <c r="F16" s="40"/>
      <c r="G16" s="40"/>
      <c r="H16" s="40"/>
      <c r="I16" s="41"/>
    </row>
    <row r="17" ht="17.25" customHeight="1" spans="1:10">
      <c r="A17" s="43" t="s">
        <v>283</v>
      </c>
      <c r="B17" s="44"/>
      <c r="C17" s="45" t="s">
        <v>284</v>
      </c>
      <c r="D17" s="45"/>
      <c r="E17" s="45"/>
      <c r="F17" s="45"/>
      <c r="G17" s="45"/>
      <c r="H17" s="45"/>
      <c r="I17" s="46"/>
    </row>
    <row r="18" spans="1:10">
      <c r="A18" s="38"/>
      <c r="B18" s="39"/>
      <c r="C18" s="40" t="s">
        <v>285</v>
      </c>
      <c r="D18" s="40"/>
      <c r="E18" s="40"/>
      <c r="F18" s="40"/>
      <c r="G18" s="47"/>
      <c r="H18" s="40"/>
      <c r="I18" s="41"/>
    </row>
    <row r="19" spans="1:10">
      <c r="A19" s="43" t="s">
        <v>286</v>
      </c>
      <c r="B19" s="48"/>
      <c r="C19" s="49" t="s">
        <v>287</v>
      </c>
      <c r="D19" s="50"/>
      <c r="E19" s="50"/>
      <c r="F19" s="50"/>
      <c r="G19" s="50"/>
      <c r="H19" s="50"/>
      <c r="I19" s="51"/>
      <c r="J19" s="1" t="str">
        <f>PROPER(C19)</f>
        <v>Cadangan Kerja-Kerja Membaikpulih Longkang Di Jalan Sg 4/10  Dan Jalan 6/3 Taman Sri Gombak Serta Kerja-Kerja Berkaitan,Mukim Batu,Daerah Gombak,Selangor Darul Ehsan</v>
      </c>
    </row>
    <row r="20" spans="1:10">
      <c r="A20" s="38"/>
      <c r="B20" s="39"/>
      <c r="C20" s="52"/>
      <c r="D20" s="53"/>
      <c r="E20" s="53"/>
      <c r="F20" s="53"/>
      <c r="G20" s="53"/>
      <c r="H20" s="53"/>
      <c r="I20" s="54"/>
    </row>
    <row r="21" spans="1:10">
      <c r="A21" s="38"/>
      <c r="B21" s="39"/>
      <c r="C21" s="52"/>
      <c r="D21" s="53"/>
      <c r="E21" s="53"/>
      <c r="F21" s="53"/>
      <c r="G21" s="53"/>
      <c r="H21" s="53"/>
      <c r="I21" s="54"/>
    </row>
    <row r="22" spans="1:10">
      <c r="A22" s="55"/>
      <c r="B22" s="56"/>
      <c r="C22" s="57"/>
      <c r="D22" s="58"/>
      <c r="E22" s="58"/>
      <c r="F22" s="58"/>
      <c r="G22" s="58"/>
      <c r="H22" s="58"/>
      <c r="I22" s="59"/>
    </row>
    <row r="23" spans="1:10">
      <c r="A23" s="24" t="s">
        <v>288</v>
      </c>
      <c r="B23" s="25"/>
      <c r="C23" s="60" t="s">
        <v>289</v>
      </c>
      <c r="D23" s="61"/>
      <c r="E23" s="61"/>
      <c r="F23" s="61"/>
      <c r="G23" s="61"/>
      <c r="H23" s="61"/>
      <c r="I23" s="62"/>
    </row>
    <row r="24" spans="1:10">
      <c r="A24" s="29"/>
      <c r="B24" s="30"/>
      <c r="C24" s="63"/>
      <c r="D24" s="64"/>
      <c r="E24" s="64"/>
      <c r="F24" s="64"/>
      <c r="G24" s="64"/>
      <c r="H24" s="64"/>
      <c r="I24" s="65"/>
    </row>
    <row r="25" spans="1:10">
      <c r="A25" s="24" t="s">
        <v>290</v>
      </c>
      <c r="B25" s="25"/>
      <c r="C25" s="60" t="s">
        <v>291</v>
      </c>
      <c r="D25" s="61"/>
      <c r="E25" s="61"/>
      <c r="F25" s="61"/>
      <c r="G25" s="61"/>
      <c r="H25" s="61"/>
      <c r="I25" s="62"/>
    </row>
    <row r="26" spans="1:10">
      <c r="A26" s="29"/>
      <c r="B26" s="30"/>
      <c r="C26" s="63"/>
      <c r="D26" s="64"/>
      <c r="E26" s="64"/>
      <c r="F26" s="64"/>
      <c r="G26" s="64"/>
      <c r="H26" s="64"/>
      <c r="I26" s="65"/>
    </row>
    <row r="27" spans="1:10">
      <c r="A27" s="38" t="s">
        <v>292</v>
      </c>
      <c r="B27" s="66"/>
      <c r="C27" s="66"/>
      <c r="D27" s="66"/>
      <c r="E27" s="66"/>
      <c r="F27" s="66"/>
      <c r="G27" s="66"/>
      <c r="H27" s="66"/>
      <c r="I27" s="39"/>
    </row>
    <row r="28" spans="1:10">
      <c r="A28" s="38"/>
      <c r="B28" s="66"/>
      <c r="C28" s="66"/>
      <c r="D28" s="66"/>
      <c r="E28" s="66"/>
      <c r="F28" s="66"/>
      <c r="G28" s="66"/>
      <c r="H28" s="66"/>
      <c r="I28" s="39"/>
    </row>
    <row r="29" ht="14.25" customHeight="1" spans="1:10">
      <c r="A29" s="397" t="s">
        <v>293</v>
      </c>
      <c r="B29" s="68" t="s">
        <v>294</v>
      </c>
      <c r="C29" s="69"/>
      <c r="D29" s="69"/>
      <c r="E29" s="69"/>
      <c r="F29" s="69"/>
      <c r="G29" s="69"/>
      <c r="H29" s="69"/>
      <c r="I29" s="39"/>
    </row>
    <row r="30" spans="1:10">
      <c r="A30" s="38"/>
      <c r="B30" s="69"/>
      <c r="C30" s="69"/>
      <c r="D30" s="69"/>
      <c r="E30" s="69"/>
      <c r="F30" s="69"/>
      <c r="G30" s="69"/>
      <c r="H30" s="69"/>
      <c r="I30" s="39"/>
    </row>
    <row r="31" spans="1:10">
      <c r="A31" s="38"/>
      <c r="B31" s="69"/>
      <c r="C31" s="69"/>
      <c r="D31" s="69"/>
      <c r="E31" s="69"/>
      <c r="F31" s="69"/>
      <c r="G31" s="69"/>
      <c r="H31" s="69"/>
      <c r="I31" s="39"/>
    </row>
    <row r="32" spans="1:10">
      <c r="A32" s="38"/>
      <c r="B32" s="69"/>
      <c r="C32" s="69"/>
      <c r="D32" s="69"/>
      <c r="E32" s="69"/>
      <c r="F32" s="69"/>
      <c r="G32" s="69"/>
      <c r="H32" s="69"/>
      <c r="I32" s="39"/>
    </row>
    <row r="33" spans="1:9">
      <c r="A33" s="38" t="s">
        <v>295</v>
      </c>
      <c r="B33" s="70"/>
      <c r="C33" s="70"/>
      <c r="D33" s="70"/>
      <c r="E33" s="70"/>
      <c r="F33" s="70"/>
      <c r="G33" s="70"/>
      <c r="H33" s="70"/>
      <c r="I33" s="71"/>
    </row>
    <row r="34" spans="1:9">
      <c r="A34" s="72"/>
      <c r="B34" s="73"/>
      <c r="C34" s="73"/>
      <c r="D34" s="73"/>
      <c r="E34" s="73"/>
      <c r="F34" s="73"/>
      <c r="G34" s="73"/>
      <c r="H34" s="73"/>
      <c r="I34" s="74"/>
    </row>
    <row r="35" spans="1:9">
      <c r="A35" s="38" t="s">
        <v>296</v>
      </c>
      <c r="B35" s="73"/>
      <c r="C35" s="73"/>
      <c r="D35" s="73"/>
      <c r="E35" s="73"/>
      <c r="F35" s="73"/>
      <c r="G35" s="73"/>
      <c r="H35" s="73"/>
      <c r="I35" s="74"/>
    </row>
    <row r="36" spans="1:9">
      <c r="A36" s="38" t="s">
        <v>297</v>
      </c>
      <c r="B36" s="73"/>
      <c r="C36" s="73"/>
      <c r="D36" s="66"/>
      <c r="E36" s="73"/>
      <c r="F36" s="73"/>
      <c r="G36" s="73"/>
      <c r="H36" s="73"/>
      <c r="I36" s="74"/>
    </row>
    <row r="37" spans="1:9">
      <c r="A37" s="38" t="s">
        <v>298</v>
      </c>
      <c r="B37" s="66"/>
      <c r="C37" s="66"/>
      <c r="D37" s="66"/>
      <c r="E37" s="73"/>
      <c r="F37" s="73"/>
      <c r="G37" s="73"/>
      <c r="H37" s="73"/>
      <c r="I37" s="74"/>
    </row>
    <row r="38" ht="16.5" customHeight="1" spans="1:9">
      <c r="A38" s="38" t="s">
        <v>299</v>
      </c>
      <c r="B38" s="66"/>
      <c r="C38" s="66"/>
      <c r="D38" s="66"/>
      <c r="E38" s="73"/>
      <c r="F38" s="73"/>
      <c r="G38" s="73"/>
      <c r="H38" s="73"/>
      <c r="I38" s="74"/>
    </row>
    <row r="39" ht="15.75" customHeight="1" spans="1:9">
      <c r="A39" s="38"/>
      <c r="B39" s="66"/>
      <c r="C39" s="66"/>
      <c r="D39" s="66"/>
      <c r="E39" s="73"/>
      <c r="F39" s="73"/>
      <c r="G39" s="73"/>
      <c r="H39" s="73"/>
      <c r="I39" s="74"/>
    </row>
    <row r="40" spans="1:9">
      <c r="A40" s="38" t="s">
        <v>300</v>
      </c>
      <c r="B40" s="66"/>
      <c r="C40" s="66"/>
      <c r="D40" s="66"/>
      <c r="E40" s="66"/>
      <c r="F40" s="66"/>
      <c r="G40" s="66"/>
      <c r="H40" s="66"/>
      <c r="I40" s="39"/>
    </row>
    <row r="41" spans="1:9">
      <c r="A41" s="38"/>
      <c r="B41" s="66"/>
      <c r="C41" s="66"/>
      <c r="D41" s="66"/>
      <c r="E41" s="66"/>
      <c r="F41" s="66"/>
      <c r="G41" s="66"/>
      <c r="H41" s="66"/>
      <c r="I41" s="39"/>
    </row>
    <row r="42" spans="1:9">
      <c r="A42" s="38"/>
      <c r="B42" s="66"/>
      <c r="C42" s="66"/>
      <c r="D42" s="66"/>
      <c r="E42" s="66"/>
      <c r="F42" s="66"/>
      <c r="G42" s="66"/>
      <c r="H42" s="66"/>
      <c r="I42" s="39"/>
    </row>
    <row r="43" spans="1:9">
      <c r="A43" s="38" t="s">
        <v>301</v>
      </c>
      <c r="B43" s="66"/>
      <c r="C43" s="66"/>
      <c r="D43" s="66"/>
      <c r="E43" s="66"/>
      <c r="F43" s="66"/>
      <c r="G43" s="66"/>
      <c r="H43" s="66"/>
      <c r="I43" s="39"/>
    </row>
    <row r="44" spans="1:9">
      <c r="A44" s="72" t="s">
        <v>302</v>
      </c>
      <c r="B44" s="66"/>
      <c r="C44" s="66"/>
      <c r="D44" s="66"/>
      <c r="E44" s="66"/>
      <c r="F44" s="66"/>
      <c r="G44" s="66"/>
      <c r="H44" s="66"/>
      <c r="I44" s="39"/>
    </row>
    <row r="45" spans="1:9">
      <c r="A45" s="38" t="s">
        <v>303</v>
      </c>
      <c r="B45" s="66"/>
      <c r="C45" s="66"/>
      <c r="D45" s="66"/>
      <c r="E45" s="66"/>
      <c r="F45" s="66"/>
      <c r="G45" s="66"/>
      <c r="H45" s="66"/>
      <c r="I45" s="39"/>
    </row>
    <row r="46" spans="1:9">
      <c r="A46" s="38" t="s">
        <v>304</v>
      </c>
      <c r="B46" s="66"/>
      <c r="C46" s="66"/>
      <c r="D46" s="66"/>
      <c r="E46" s="66"/>
      <c r="F46" s="66"/>
      <c r="G46" s="66"/>
      <c r="H46" s="66"/>
      <c r="I46" s="39"/>
    </row>
    <row r="47" spans="1:9">
      <c r="A47" s="38" t="s">
        <v>305</v>
      </c>
      <c r="B47" s="66"/>
      <c r="C47" s="66"/>
      <c r="D47" s="66"/>
      <c r="E47" s="66"/>
      <c r="F47" s="66"/>
      <c r="G47" s="66"/>
      <c r="H47" s="66"/>
      <c r="I47" s="39"/>
    </row>
    <row r="48" spans="1:9">
      <c r="A48" s="75"/>
      <c r="B48" s="66"/>
      <c r="C48" s="66"/>
      <c r="D48" s="66"/>
      <c r="E48" s="66"/>
      <c r="F48" s="66"/>
      <c r="G48" s="66"/>
      <c r="H48" s="66"/>
      <c r="I48" s="39"/>
    </row>
    <row r="49" spans="1:9">
      <c r="A49" s="75"/>
      <c r="B49" s="66"/>
      <c r="C49" s="66"/>
      <c r="D49" s="66"/>
      <c r="E49" s="66"/>
      <c r="F49" s="66"/>
      <c r="G49" s="66"/>
      <c r="H49" s="66"/>
      <c r="I49" s="39"/>
    </row>
    <row r="50" spans="1:9">
      <c r="A50" s="55"/>
      <c r="B50" s="76"/>
      <c r="C50" s="76"/>
      <c r="D50" s="76"/>
      <c r="E50" s="76"/>
      <c r="F50" s="76"/>
      <c r="G50" s="76"/>
      <c r="H50" s="76"/>
      <c r="I50" s="56"/>
    </row>
    <row r="51" spans="1:9">
      <c r="A51" s="77"/>
      <c r="B51" s="78"/>
      <c r="C51" s="78"/>
      <c r="D51" s="78"/>
      <c r="E51" s="78"/>
      <c r="F51" s="78"/>
      <c r="G51" s="78"/>
      <c r="H51" s="78"/>
      <c r="I51" s="79"/>
    </row>
    <row r="52" spans="1:9">
      <c r="A52" s="80" t="s">
        <v>306</v>
      </c>
      <c r="I52" s="81"/>
    </row>
    <row r="53" spans="1:9">
      <c r="A53" s="80"/>
      <c r="I53" s="81"/>
    </row>
    <row r="54" ht="14.25" customHeight="1" spans="1:9">
      <c r="A54" s="82" t="str">
        <f>PROPER(C19)</f>
        <v>Cadangan Kerja-Kerja Membaikpulih Longkang Di Jalan Sg 4/10  Dan Jalan 6/3 Taman Sri Gombak Serta Kerja-Kerja Berkaitan,Mukim Batu,Daerah Gombak,Selangor Darul Ehsan</v>
      </c>
      <c r="B54" s="83"/>
      <c r="C54" s="83"/>
      <c r="D54" s="83"/>
      <c r="E54" s="83"/>
      <c r="F54" s="83"/>
      <c r="G54" s="83"/>
      <c r="H54" s="83"/>
      <c r="I54" s="84"/>
    </row>
    <row r="55" spans="1:9">
      <c r="A55" s="82"/>
      <c r="B55" s="83"/>
      <c r="C55" s="83"/>
      <c r="D55" s="83"/>
      <c r="E55" s="83"/>
      <c r="F55" s="83"/>
      <c r="G55" s="83"/>
      <c r="H55" s="83"/>
      <c r="I55" s="84"/>
    </row>
    <row r="56" spans="1:9">
      <c r="A56" s="82"/>
      <c r="B56" s="83"/>
      <c r="C56" s="83"/>
      <c r="D56" s="83"/>
      <c r="E56" s="83"/>
      <c r="F56" s="83"/>
      <c r="G56" s="83"/>
      <c r="H56" s="83"/>
      <c r="I56" s="84"/>
    </row>
    <row r="57" spans="1:9">
      <c r="A57" s="80"/>
      <c r="I57" s="81"/>
    </row>
    <row r="58" spans="1:9">
      <c r="A58" s="80"/>
      <c r="B58" s="1" t="s">
        <v>307</v>
      </c>
      <c r="D58" s="85" t="s">
        <v>308</v>
      </c>
      <c r="E58" s="85"/>
      <c r="F58" s="85"/>
      <c r="G58" s="85"/>
      <c r="H58" s="85"/>
      <c r="I58" s="81"/>
    </row>
    <row r="59" spans="1:9">
      <c r="A59" s="80"/>
      <c r="I59" s="81"/>
    </row>
    <row r="60" spans="1:9">
      <c r="A60" s="80"/>
      <c r="B60" s="1" t="s">
        <v>309</v>
      </c>
      <c r="D60" s="85" t="s">
        <v>308</v>
      </c>
      <c r="E60" s="85"/>
      <c r="F60" s="85"/>
      <c r="G60" s="85"/>
      <c r="H60" s="85"/>
      <c r="I60" s="81"/>
    </row>
    <row r="61" spans="1:9">
      <c r="A61" s="80"/>
      <c r="I61" s="81"/>
    </row>
    <row r="62" spans="1:9">
      <c r="A62" s="80"/>
      <c r="B62" s="1" t="s">
        <v>310</v>
      </c>
      <c r="D62" s="85" t="s">
        <v>308</v>
      </c>
      <c r="E62" s="85"/>
      <c r="F62" s="85"/>
      <c r="G62" s="85"/>
      <c r="H62" s="85"/>
      <c r="I62" s="81"/>
    </row>
    <row r="63" spans="1:9">
      <c r="A63" s="80"/>
      <c r="I63" s="81"/>
    </row>
    <row r="64" spans="1:9">
      <c r="A64" s="80"/>
      <c r="B64" s="85"/>
      <c r="C64" s="85"/>
      <c r="D64" s="85"/>
      <c r="E64" s="85"/>
      <c r="F64" s="85"/>
      <c r="G64" s="85"/>
      <c r="H64" s="85"/>
      <c r="I64" s="81"/>
    </row>
    <row r="65" spans="1:9">
      <c r="A65" s="80"/>
      <c r="I65" s="81"/>
    </row>
    <row r="66" spans="1:9">
      <c r="A66" s="80"/>
      <c r="I66" s="81"/>
    </row>
    <row r="67" spans="1:9">
      <c r="A67" s="80"/>
      <c r="I67" s="81"/>
    </row>
    <row r="68" spans="1:9">
      <c r="A68" s="80" t="s">
        <v>311</v>
      </c>
      <c r="I68" s="81"/>
    </row>
    <row r="69" spans="1:9">
      <c r="A69" s="80"/>
      <c r="I69" s="81"/>
    </row>
    <row r="70" spans="1:9">
      <c r="A70" s="80" t="s">
        <v>312</v>
      </c>
      <c r="I70" s="81"/>
    </row>
    <row r="71" spans="1:9">
      <c r="A71" s="80"/>
      <c r="I71" s="81"/>
    </row>
    <row r="72" spans="1:9">
      <c r="A72" s="80"/>
      <c r="I72" s="81"/>
    </row>
    <row r="73" spans="1:9">
      <c r="A73" s="86"/>
      <c r="B73" s="87"/>
      <c r="C73" s="87"/>
      <c r="D73" s="87"/>
      <c r="E73" s="87"/>
      <c r="F73" s="87"/>
      <c r="G73" s="87"/>
      <c r="H73" s="87"/>
      <c r="I73" s="88"/>
    </row>
    <row r="74" spans="1:9">
      <c r="A74" s="77"/>
      <c r="B74" s="78"/>
      <c r="C74" s="78"/>
      <c r="D74" s="78"/>
      <c r="E74" s="78"/>
      <c r="F74" s="78"/>
      <c r="G74" s="78"/>
      <c r="H74" s="78"/>
      <c r="I74" s="79"/>
    </row>
    <row r="75" spans="1:9">
      <c r="A75" s="80" t="s">
        <v>313</v>
      </c>
      <c r="I75" s="81"/>
    </row>
    <row r="76" spans="1:9">
      <c r="A76" s="80"/>
      <c r="I76" s="81"/>
    </row>
    <row r="77" spans="1:9">
      <c r="A77" s="80"/>
      <c r="I77" s="81"/>
    </row>
    <row r="78" spans="1:9">
      <c r="A78" s="80" t="s">
        <v>314</v>
      </c>
      <c r="I78" s="81"/>
    </row>
    <row r="79" spans="1:9">
      <c r="A79" s="80" t="s">
        <v>315</v>
      </c>
      <c r="I79" s="81"/>
    </row>
    <row r="80" spans="1:9">
      <c r="A80" s="80"/>
      <c r="I80" s="81"/>
    </row>
    <row r="81" spans="1:9">
      <c r="A81" s="80"/>
      <c r="I81" s="81"/>
    </row>
    <row r="82" spans="1:9">
      <c r="A82" s="80"/>
      <c r="B82" s="85"/>
      <c r="C82" s="85"/>
      <c r="D82" s="85"/>
      <c r="E82" s="85"/>
      <c r="F82" s="85"/>
      <c r="G82" s="85"/>
      <c r="H82" s="85"/>
      <c r="I82" s="81"/>
    </row>
    <row r="83" spans="1:9">
      <c r="A83" s="80"/>
      <c r="I83" s="81"/>
    </row>
    <row r="84" spans="1:9">
      <c r="A84" s="80"/>
      <c r="I84" s="81"/>
    </row>
    <row r="85" spans="1:9">
      <c r="A85" s="80"/>
      <c r="B85" s="85"/>
      <c r="C85" s="85"/>
      <c r="D85" s="85"/>
      <c r="E85" s="85"/>
      <c r="F85" s="85"/>
      <c r="G85" s="85"/>
      <c r="H85" s="85"/>
      <c r="I85" s="81"/>
    </row>
    <row r="86" spans="1:9">
      <c r="A86" s="80"/>
      <c r="I86" s="81"/>
    </row>
    <row r="87" spans="1:9">
      <c r="A87" s="80"/>
      <c r="I87" s="81"/>
    </row>
    <row r="88" spans="1:9">
      <c r="A88" s="80"/>
      <c r="I88" s="81"/>
    </row>
    <row r="89" spans="1:9">
      <c r="A89" s="80" t="s">
        <v>311</v>
      </c>
      <c r="I89" s="81"/>
    </row>
    <row r="90" spans="1:9">
      <c r="A90" s="80"/>
      <c r="I90" s="81"/>
    </row>
    <row r="91" spans="1:9">
      <c r="A91" s="80" t="s">
        <v>312</v>
      </c>
      <c r="I91" s="81"/>
    </row>
    <row r="92" spans="1:9">
      <c r="A92" s="80"/>
      <c r="I92" s="81"/>
    </row>
    <row r="93" spans="1:9">
      <c r="A93" s="80"/>
      <c r="I93" s="81"/>
    </row>
    <row r="94" spans="1:9">
      <c r="A94" s="80"/>
      <c r="I94" s="81"/>
    </row>
    <row r="95" spans="1:9">
      <c r="A95" s="80"/>
      <c r="I95" s="81"/>
    </row>
    <row r="96" spans="1:9">
      <c r="A96" s="80"/>
      <c r="I96" s="81"/>
    </row>
    <row r="97" spans="1:9">
      <c r="A97" s="80"/>
      <c r="I97" s="81"/>
    </row>
    <row r="98" spans="1:9">
      <c r="A98" s="80"/>
      <c r="I98" s="81"/>
    </row>
    <row r="99" spans="1:9">
      <c r="A99" s="86"/>
      <c r="B99" s="87"/>
      <c r="C99" s="87"/>
      <c r="D99" s="87"/>
      <c r="E99" s="87"/>
      <c r="F99" s="87"/>
      <c r="G99" s="87"/>
      <c r="H99" s="87"/>
      <c r="I99" s="88"/>
    </row>
  </sheetData>
  <mergeCells count="20">
    <mergeCell ref="A1:I1"/>
    <mergeCell ref="A2:I2"/>
    <mergeCell ref="A3:I3"/>
    <mergeCell ref="A4:I4"/>
    <mergeCell ref="A5:I5"/>
    <mergeCell ref="A6:I6"/>
    <mergeCell ref="A7:I7"/>
    <mergeCell ref="A8:I8"/>
    <mergeCell ref="F9:I9"/>
    <mergeCell ref="C12:I12"/>
    <mergeCell ref="C17:I17"/>
    <mergeCell ref="A10:B11"/>
    <mergeCell ref="C10:I11"/>
    <mergeCell ref="A23:B24"/>
    <mergeCell ref="C23:I24"/>
    <mergeCell ref="C19:I22"/>
    <mergeCell ref="B29:H32"/>
    <mergeCell ref="A54:I56"/>
    <mergeCell ref="A25:B26"/>
    <mergeCell ref="C25:I26"/>
  </mergeCells>
  <printOptions horizontalCentered="1"/>
  <pageMargins left="0.75" right="0.75" top="0.75" bottom="0.75" header="0.31496062992126" footer="0.31496062992126"/>
  <pageSetup paperSize="9" scale="92" orientation="portrait" horizontalDpi="600" verticalDpi="600"/>
  <headerFooter/>
  <rowBreaks count="1" manualBreakCount="1">
    <brk id="50" max="16383" man="1"/>
  </rowBreaks>
  <colBreaks count="1" manualBreakCount="1">
    <brk id="9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topLeftCell="A16" workbookViewId="0">
      <selection activeCell="G14" sqref="G14"/>
    </sheetView>
  </sheetViews>
  <sheetFormatPr defaultColWidth="9" defaultRowHeight="15"/>
  <cols>
    <col min="1" max="1" width="9.14074074074074" style="1"/>
    <col min="2" max="2" width="10.7111111111111" style="1" customWidth="1"/>
    <col min="3" max="5" width="9.14074074074074" style="1"/>
    <col min="6" max="6" width="10" style="1" customWidth="1"/>
    <col min="7" max="16384" width="9.14074074074074" style="1"/>
  </cols>
  <sheetData>
    <row r="1" ht="18" spans="1:9">
      <c r="A1" s="2"/>
      <c r="B1" s="2"/>
      <c r="C1" s="2"/>
      <c r="D1" s="2"/>
      <c r="E1" s="2"/>
      <c r="F1" s="2"/>
      <c r="G1" s="2"/>
      <c r="H1" s="2"/>
      <c r="I1" s="2"/>
    </row>
    <row r="3" ht="18" spans="1:9">
      <c r="A3" s="2"/>
      <c r="B3" s="2"/>
      <c r="C3" s="2"/>
      <c r="D3" s="2"/>
      <c r="E3" s="2"/>
      <c r="F3" s="2"/>
      <c r="G3" s="2"/>
      <c r="H3" s="2"/>
      <c r="I3" s="2"/>
    </row>
    <row r="4" spans="1:9">
      <c r="A4" s="3"/>
      <c r="B4" s="3"/>
      <c r="C4" s="3"/>
      <c r="D4" s="3"/>
      <c r="E4" s="3"/>
      <c r="F4" s="3"/>
      <c r="G4" s="3"/>
      <c r="H4" s="3"/>
      <c r="I4" s="3"/>
    </row>
    <row r="5" spans="1:9">
      <c r="A5" s="3"/>
      <c r="B5" s="3"/>
      <c r="C5" s="3"/>
      <c r="D5" s="3"/>
      <c r="E5" s="3"/>
      <c r="F5" s="3"/>
      <c r="G5" s="3"/>
      <c r="H5" s="3"/>
      <c r="I5" s="3"/>
    </row>
    <row r="6" spans="1:9">
      <c r="A6" s="4"/>
      <c r="B6" s="5"/>
      <c r="C6" s="5"/>
      <c r="D6" s="5"/>
      <c r="E6" s="5"/>
      <c r="F6" s="5"/>
      <c r="G6" s="5"/>
      <c r="H6" s="5"/>
      <c r="I6" s="5"/>
    </row>
    <row r="7" ht="15.75" spans="1:9">
      <c r="A7" s="6" t="s">
        <v>316</v>
      </c>
      <c r="B7" s="5"/>
      <c r="C7" s="5"/>
      <c r="D7" s="5"/>
      <c r="E7" s="5"/>
      <c r="F7" s="5"/>
      <c r="G7" s="5"/>
      <c r="H7" s="5"/>
      <c r="I7" s="5"/>
    </row>
    <row r="8" ht="15.75" spans="1:9">
      <c r="A8" s="7"/>
      <c r="B8" s="5"/>
      <c r="C8" s="5"/>
      <c r="D8" s="5"/>
      <c r="E8" s="5"/>
      <c r="F8" s="5"/>
      <c r="G8" s="5"/>
      <c r="H8" s="5"/>
      <c r="I8" s="5"/>
    </row>
    <row r="9" ht="14.25" customHeight="1" spans="1:9">
      <c r="F9" s="8"/>
      <c r="G9" s="8"/>
      <c r="H9" s="8"/>
      <c r="I9" s="8"/>
    </row>
    <row r="10" spans="1:9">
      <c r="A10" s="9"/>
      <c r="C10" s="9"/>
      <c r="D10" s="9"/>
      <c r="E10" s="9"/>
      <c r="F10" s="9"/>
      <c r="G10" s="9"/>
      <c r="H10" s="9"/>
      <c r="I10" s="9"/>
    </row>
    <row r="11" ht="15.75" spans="1:9">
      <c r="A11" s="10"/>
      <c r="B11" s="11"/>
      <c r="C11" s="9"/>
      <c r="D11" s="9"/>
      <c r="E11" s="12"/>
      <c r="F11" s="12"/>
      <c r="G11" s="12"/>
      <c r="H11" s="9"/>
      <c r="I11" s="9"/>
    </row>
    <row r="12" customHeight="1" spans="1:9">
      <c r="A12" s="10"/>
      <c r="B12" s="13"/>
      <c r="C12" s="14"/>
      <c r="D12" s="14"/>
      <c r="E12" s="14"/>
      <c r="F12" s="14"/>
      <c r="G12" s="14"/>
      <c r="H12" s="14"/>
      <c r="I12" s="14"/>
    </row>
    <row r="13" spans="1:9">
      <c r="A13" s="9"/>
      <c r="C13" s="9"/>
      <c r="D13" s="9"/>
      <c r="E13" s="9"/>
      <c r="F13" s="9"/>
      <c r="G13" s="9"/>
      <c r="H13" s="9"/>
      <c r="I13" s="9"/>
    </row>
    <row r="14" spans="1:9">
      <c r="A14" s="15"/>
      <c r="C14" s="9"/>
      <c r="D14" s="9"/>
      <c r="E14" s="9"/>
      <c r="F14" s="9"/>
      <c r="G14" s="9"/>
      <c r="H14" s="9"/>
      <c r="I14" s="9"/>
    </row>
    <row r="15" spans="1:9">
      <c r="A15" s="9"/>
      <c r="C15" s="9"/>
      <c r="D15" s="9"/>
      <c r="E15" s="9"/>
      <c r="F15" s="9"/>
      <c r="G15" s="9"/>
      <c r="H15" s="9"/>
      <c r="I15" s="9"/>
    </row>
    <row r="16" spans="1:9">
      <c r="A16" s="9"/>
      <c r="C16" s="9"/>
      <c r="D16" s="9"/>
      <c r="E16" s="9"/>
      <c r="F16" s="9"/>
      <c r="G16" s="9"/>
      <c r="H16" s="9"/>
      <c r="I16" s="9"/>
    </row>
    <row r="17" ht="17.25" customHeight="1" spans="1:9">
      <c r="A17" s="9"/>
      <c r="B17" s="16"/>
      <c r="C17" s="17"/>
      <c r="D17" s="17"/>
      <c r="E17" s="17"/>
      <c r="F17" s="17"/>
      <c r="G17" s="17"/>
      <c r="H17" s="17"/>
      <c r="I17" s="17"/>
    </row>
    <row r="18" spans="1:9">
      <c r="A18" s="9"/>
      <c r="C18" s="9"/>
      <c r="D18" s="9"/>
      <c r="E18" s="9"/>
      <c r="F18" s="9"/>
      <c r="G18" s="9"/>
      <c r="H18" s="9"/>
      <c r="I18" s="9"/>
    </row>
    <row r="19" ht="15.75" spans="1:9">
      <c r="A19" s="9"/>
      <c r="B19" s="18"/>
      <c r="C19" s="9"/>
      <c r="D19" s="9"/>
      <c r="E19" s="9"/>
      <c r="F19" s="9"/>
      <c r="G19" s="9"/>
      <c r="H19" s="9"/>
      <c r="I19" s="9"/>
    </row>
    <row r="20" ht="15.75" spans="1:9">
      <c r="A20" s="9"/>
      <c r="B20" s="18"/>
      <c r="C20" s="9"/>
      <c r="D20" s="9"/>
      <c r="E20" s="9"/>
      <c r="F20" s="9"/>
      <c r="G20" s="9"/>
      <c r="H20" s="9"/>
      <c r="I20" s="9"/>
    </row>
    <row r="21" ht="15.75" spans="1:9">
      <c r="A21" s="9"/>
      <c r="B21" s="18"/>
      <c r="C21" s="9"/>
      <c r="D21" s="18"/>
      <c r="E21" s="18"/>
      <c r="F21" s="18"/>
      <c r="G21" s="18"/>
      <c r="H21" s="18"/>
      <c r="I21" s="18"/>
    </row>
    <row r="22" ht="15.75" spans="1:9">
      <c r="A22" s="18"/>
      <c r="B22" s="18"/>
      <c r="C22" s="9"/>
      <c r="D22" s="18"/>
      <c r="E22" s="18"/>
      <c r="F22" s="18"/>
      <c r="G22" s="18"/>
      <c r="H22" s="18"/>
      <c r="I22" s="18"/>
    </row>
    <row r="23" ht="15.75" spans="1:9">
      <c r="A23" s="18"/>
      <c r="B23" s="18"/>
      <c r="C23" s="9"/>
      <c r="D23" s="18"/>
      <c r="E23" s="18"/>
      <c r="F23" s="18"/>
      <c r="G23" s="18"/>
      <c r="H23" s="18"/>
      <c r="I23" s="18"/>
    </row>
    <row r="24" ht="15.75" spans="1:9">
      <c r="A24" s="9"/>
      <c r="B24" s="18"/>
      <c r="C24" s="9"/>
      <c r="D24" s="18"/>
      <c r="E24" s="18"/>
      <c r="F24" s="18"/>
      <c r="G24" s="18"/>
      <c r="H24" s="18"/>
      <c r="I24" s="18"/>
    </row>
    <row r="25" ht="15.75" spans="1:9">
      <c r="A25" s="18"/>
      <c r="B25" s="18"/>
      <c r="C25" s="18"/>
      <c r="D25" s="18"/>
      <c r="E25" s="18"/>
      <c r="F25" s="18"/>
      <c r="G25" s="18"/>
      <c r="H25" s="18"/>
      <c r="I25" s="18"/>
    </row>
    <row r="26" spans="1:9">
      <c r="A26" s="9"/>
    </row>
    <row r="28" spans="1:9">
      <c r="A28" s="19"/>
      <c r="B28" s="9"/>
    </row>
    <row r="29" spans="1:9">
      <c r="B29" s="9"/>
    </row>
    <row r="30" spans="1:9">
      <c r="B30" s="9"/>
    </row>
    <row r="31" spans="1:9">
      <c r="B31" s="9"/>
    </row>
    <row r="32" ht="15.75" spans="1:9">
      <c r="A32" s="20"/>
      <c r="B32" s="20"/>
      <c r="C32" s="20"/>
      <c r="D32" s="20"/>
      <c r="E32" s="20"/>
      <c r="F32" s="20"/>
      <c r="G32" s="20"/>
      <c r="I32" s="20"/>
    </row>
    <row r="33" ht="15.75" spans="1:9">
      <c r="A33" s="20"/>
      <c r="B33" s="9"/>
      <c r="C33" s="20"/>
      <c r="D33" s="20"/>
      <c r="E33" s="20"/>
      <c r="F33" s="20"/>
      <c r="G33" s="20"/>
      <c r="H33" s="20"/>
      <c r="I33" s="20"/>
    </row>
    <row r="34" ht="15.75" spans="1:9">
      <c r="A34" s="20"/>
      <c r="B34" s="20"/>
      <c r="C34" s="20"/>
      <c r="D34" s="20"/>
      <c r="E34" s="20"/>
      <c r="F34" s="20"/>
      <c r="G34" s="20"/>
      <c r="H34" s="20"/>
      <c r="I34" s="20"/>
    </row>
    <row r="35" ht="15.75" spans="1:9">
      <c r="A35" s="9"/>
      <c r="B35" s="20"/>
      <c r="C35" s="20"/>
      <c r="D35" s="20"/>
      <c r="E35" s="20"/>
      <c r="F35" s="20"/>
      <c r="G35" s="20"/>
      <c r="H35" s="20"/>
      <c r="I35" s="20"/>
    </row>
    <row r="36" ht="15.75" spans="1:9">
      <c r="A36" s="20"/>
      <c r="B36" s="20"/>
      <c r="C36" s="20"/>
      <c r="E36" s="20"/>
      <c r="F36" s="20"/>
      <c r="G36" s="20"/>
      <c r="H36" s="20"/>
      <c r="I36" s="20"/>
    </row>
    <row r="37" ht="15.75" spans="1:9">
      <c r="A37" s="9"/>
      <c r="B37" s="9"/>
      <c r="C37" s="9"/>
      <c r="D37" s="9"/>
      <c r="E37" s="20"/>
      <c r="F37" s="20"/>
      <c r="G37" s="20"/>
      <c r="H37" s="20"/>
      <c r="I37" s="20"/>
    </row>
    <row r="38" ht="16.5" customHeight="1" spans="1:9">
      <c r="A38" s="9"/>
      <c r="B38" s="9"/>
      <c r="C38" s="9"/>
      <c r="D38" s="9"/>
      <c r="E38" s="20"/>
      <c r="F38" s="20"/>
      <c r="G38" s="20"/>
      <c r="H38" s="20"/>
      <c r="I38" s="20"/>
    </row>
    <row r="39" ht="15.75" customHeight="1" spans="1:9">
      <c r="A39" s="9"/>
      <c r="B39" s="9"/>
      <c r="C39" s="9"/>
      <c r="D39" s="9"/>
      <c r="E39" s="20"/>
      <c r="F39" s="20"/>
      <c r="G39" s="20"/>
      <c r="H39" s="20"/>
      <c r="I39" s="20"/>
    </row>
    <row r="40" spans="1:9">
      <c r="A40" s="9"/>
      <c r="B40" s="9"/>
      <c r="C40" s="9"/>
      <c r="D40" s="9"/>
    </row>
  </sheetData>
  <mergeCells count="10">
    <mergeCell ref="A1:I1"/>
    <mergeCell ref="A3:I3"/>
    <mergeCell ref="A4:I4"/>
    <mergeCell ref="A5:I5"/>
    <mergeCell ref="A6:I6"/>
    <mergeCell ref="A7:I7"/>
    <mergeCell ref="A8:I8"/>
    <mergeCell ref="F9:I9"/>
    <mergeCell ref="C12:I12"/>
    <mergeCell ref="C17:I17"/>
  </mergeCells>
  <printOptions horizontalCentered="1"/>
  <pageMargins left="0.708661417322835" right="0.708661417322835" top="0.748031496062992" bottom="0.748031496062992" header="0.31496062992126" footer="0.31496062992126"/>
  <pageSetup paperSize="9" orientation="portrait" horizontalDpi="600" verticalDpi="6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Grizli777</Company>
  <Application>ONLYOFFICE/9.1.0.173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BQ</vt:lpstr>
      <vt:lpstr>PELARASAN</vt:lpstr>
      <vt:lpstr>CPC</vt:lpstr>
      <vt:lpstr>LOKASI</vt:lpstr>
      <vt:lpstr>COVER PAGE</vt:lpstr>
      <vt:lpstr>PRESTASI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rezephyr</cp:lastModifiedBy>
  <cp:revision>6</cp:revision>
  <dcterms:created xsi:type="dcterms:W3CDTF">2021-12-30T02:38:00Z</dcterms:created>
  <dcterms:modified xsi:type="dcterms:W3CDTF">2025-12-13T21:01:49Z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E3FD9DFC22148FA56F7633690706A3BA_42</vt:lpwstr>
  </property>
  <property fmtid="{D5CDD505-2E9C-101B-9397-08002B2CF9AE}" pid="4" name="KSOProductBuildVer">
    <vt:lpwstr>1033-12.1.2.23578</vt:lpwstr>
  </property>
</Properties>
</file>